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\Project\_R_packages\implan\inst\extdata\templates\"/>
    </mc:Choice>
  </mc:AlternateContent>
  <xr:revisionPtr revIDLastSave="0" documentId="13_ncr:1_{126DA65E-CB7B-49EB-BBB6-B242E1CB107A}" xr6:coauthVersionLast="45" xr6:coauthVersionMax="45" xr10:uidLastSave="{00000000-0000-0000-0000-000000000000}"/>
  <bookViews>
    <workbookView xWindow="24780" yWindow="2670" windowWidth="20070" windowHeight="15435" tabRatio="644" xr2:uid="{00000000-000D-0000-FFFF-FFFF00000000}"/>
  </bookViews>
  <sheets>
    <sheet name="Results temporary" sheetId="1" r:id="rId1"/>
    <sheet name="OIA" sheetId="5" r:id="rId2"/>
    <sheet name="Shoot" sheetId="7" r:id="rId3"/>
    <sheet name="Hunt" sheetId="9" r:id="rId4"/>
    <sheet name="WW" sheetId="11" r:id="rId5"/>
    <sheet name="Fish" sheetId="13" r:id="rId6"/>
    <sheet name="Golf" sheetId="14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2" i="1" l="1"/>
  <c r="J10" i="1" l="1"/>
  <c r="J13" i="1" l="1"/>
  <c r="J9" i="1" l="1"/>
</calcChain>
</file>

<file path=xl/sharedStrings.xml><?xml version="1.0" encoding="utf-8"?>
<sst xmlns="http://schemas.openxmlformats.org/spreadsheetml/2006/main" count="465" uniqueCount="26">
  <si>
    <t>Impact Type</t>
  </si>
  <si>
    <t>Employment</t>
  </si>
  <si>
    <t>Labor Income</t>
  </si>
  <si>
    <t>Value Added</t>
  </si>
  <si>
    <t>Output</t>
  </si>
  <si>
    <t>Direct Effect</t>
  </si>
  <si>
    <t>Indirect Effect</t>
  </si>
  <si>
    <t>Induced Effect</t>
  </si>
  <si>
    <t>Total Effect</t>
  </si>
  <si>
    <t>Total State and Local Tax</t>
  </si>
  <si>
    <t>Total Federal Tax</t>
  </si>
  <si>
    <t>Federal Taxes</t>
  </si>
  <si>
    <t>State/Loc Taxes</t>
  </si>
  <si>
    <t>Direct</t>
  </si>
  <si>
    <t>Total</t>
  </si>
  <si>
    <t xml:space="preserve"> </t>
  </si>
  <si>
    <t>XX</t>
  </si>
  <si>
    <t>REGION:</t>
  </si>
  <si>
    <t>CO</t>
  </si>
  <si>
    <t>Metro</t>
  </si>
  <si>
    <t>N Central</t>
  </si>
  <si>
    <t>Northeast</t>
  </si>
  <si>
    <t>Northwest</t>
  </si>
  <si>
    <t>S Central</t>
  </si>
  <si>
    <t>Southeast</t>
  </si>
  <si>
    <t>Southwest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</si>
</sst>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43" formatCode="_(* #,##0.00_);_(* \(#,##0.00\);_(* &quot;-&quot;??_);_(@_)"/>
    <numFmt numFmtId="164" formatCode="_(* #,##0_);_(* \(#,##0\);_(* &quot;-&quot;??_);_(@_)"/>
  </numFmts>
  <fonts count="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8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6" fontId="0" fillId="0" borderId="0" xfId="0" applyNumberFormat="1" applyAlignment="1">
      <alignment vertical="center" wrapText="1"/>
    </xf>
    <xf numFmtId="0" fontId="0" fillId="2" borderId="0" xfId="0" applyFill="1"/>
    <xf numFmtId="6" fontId="0" fillId="3" borderId="0" xfId="0" applyNumberFormat="1" applyFill="1"/>
    <xf numFmtId="0" fontId="3" fillId="3" borderId="0" xfId="0" applyFont="1" applyFill="1" applyAlignment="1">
      <alignment horizontal="center"/>
    </xf>
    <xf numFmtId="0" fontId="6" fillId="0" borderId="0" xfId="0" applyFont="1" applyAlignment="1">
      <alignment horizontal="center" vertical="center" wrapText="1"/>
    </xf>
    <xf numFmtId="164" fontId="3" fillId="0" borderId="0" xfId="1" applyNumberFormat="1" applyFont="1" applyAlignment="1">
      <alignment horizontal="center"/>
    </xf>
    <xf numFmtId="164" fontId="5" fillId="0" borderId="0" xfId="1" applyNumberFormat="1" applyFont="1"/>
    <xf numFmtId="164" fontId="5" fillId="0" borderId="1" xfId="1" applyNumberFormat="1" applyFont="1" applyBorder="1" applyAlignment="1">
      <alignment horizontal="center" vertical="center" wrapText="1"/>
    </xf>
    <xf numFmtId="164" fontId="5" fillId="0" borderId="2" xfId="1" applyNumberFormat="1" applyFont="1" applyBorder="1" applyAlignment="1">
      <alignment horizontal="center" vertical="center" wrapText="1"/>
    </xf>
    <xf numFmtId="164" fontId="5" fillId="0" borderId="3" xfId="1" applyNumberFormat="1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64" fontId="5" fillId="0" borderId="0" xfId="1" applyNumberFormat="1" applyFont="1" applyAlignment="1">
      <alignment horizontal="center"/>
    </xf>
    <xf numFmtId="164" fontId="5" fillId="0" borderId="0" xfId="1" applyNumberFormat="1" applyFont="1" applyAlignment="1">
      <alignment horizontal="center"/>
    </xf>
    <xf numFmtId="0" fontId="3" fillId="0" borderId="0" xfId="0" applyFont="1" applyAlignment="1">
      <alignment horizontal="center"/>
    </xf>
    <xf numFmtId="164" fontId="3" fillId="0" borderId="4" xfId="1" applyNumberFormat="1" applyFont="1" applyBorder="1" applyAlignment="1">
      <alignment horizontal="center"/>
    </xf>
    <xf numFmtId="164" fontId="3" fillId="0" borderId="5" xfId="1" applyNumberFormat="1" applyFont="1" applyBorder="1" applyAlignment="1">
      <alignment horizontal="center"/>
    </xf>
    <xf numFmtId="164" fontId="3" fillId="0" borderId="6" xfId="1" applyNumberFormat="1" applyFont="1" applyBorder="1" applyAlignment="1">
      <alignment horizontal="center"/>
    </xf>
  </cellXfs>
  <cellStyles count="5">
    <cellStyle name="Comma" xfId="1" builtinId="3"/>
    <cellStyle name="Comma 2" xfId="2" xr:uid="{00000000-0005-0000-0000-000001000000}"/>
    <cellStyle name="Comma 3" xfId="3" xr:uid="{00000000-0005-0000-0000-000002000000}"/>
    <cellStyle name="Normal" xfId="0" builtinId="0"/>
    <cellStyle name="Percent 2" xfId="4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342898</xdr:colOff>
      <xdr:row>14</xdr:row>
      <xdr:rowOff>171451</xdr:rowOff>
    </xdr:from>
    <xdr:to>
      <xdr:col>7</xdr:col>
      <xdr:colOff>1038225</xdr:colOff>
      <xdr:row>18</xdr:row>
      <xdr:rowOff>38100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47848" y="3067051"/>
          <a:ext cx="6562727" cy="62864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628650</xdr:colOff>
          <xdr:row>15</xdr:row>
          <xdr:rowOff>171450</xdr:rowOff>
        </xdr:from>
        <xdr:to>
          <xdr:col>3</xdr:col>
          <xdr:colOff>1362075</xdr:colOff>
          <xdr:row>17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1419225</xdr:colOff>
          <xdr:row>15</xdr:row>
          <xdr:rowOff>171450</xdr:rowOff>
        </xdr:from>
        <xdr:to>
          <xdr:col>4</xdr:col>
          <xdr:colOff>619125</xdr:colOff>
          <xdr:row>17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676275</xdr:colOff>
          <xdr:row>15</xdr:row>
          <xdr:rowOff>171450</xdr:rowOff>
        </xdr:from>
        <xdr:to>
          <xdr:col>5</xdr:col>
          <xdr:colOff>323850</xdr:colOff>
          <xdr:row>17</xdr:row>
          <xdr:rowOff>66675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Hunt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15</xdr:row>
          <xdr:rowOff>171450</xdr:rowOff>
        </xdr:from>
        <xdr:to>
          <xdr:col>6</xdr:col>
          <xdr:colOff>28575</xdr:colOff>
          <xdr:row>17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15</xdr:row>
          <xdr:rowOff>171450</xdr:rowOff>
        </xdr:from>
        <xdr:to>
          <xdr:col>6</xdr:col>
          <xdr:colOff>809625</xdr:colOff>
          <xdr:row>17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Fish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415925</xdr:colOff>
      <xdr:row>15</xdr:row>
      <xdr:rowOff>155575</xdr:rowOff>
    </xdr:from>
    <xdr:to>
      <xdr:col>3</xdr:col>
      <xdr:colOff>390572</xdr:colOff>
      <xdr:row>17</xdr:row>
      <xdr:rowOff>38184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920875" y="3241675"/>
          <a:ext cx="1060497" cy="263609"/>
        </a:xfrm>
        <a:prstGeom prst="rect">
          <a:avLst/>
        </a:prstGeom>
        <a:solidFill>
          <a:schemeClr val="accent5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>
              <a:solidFill>
                <a:schemeClr val="bg1"/>
              </a:solidFill>
            </a:rPr>
            <a:t>Activity: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885825</xdr:colOff>
          <xdr:row>15</xdr:row>
          <xdr:rowOff>171450</xdr:rowOff>
        </xdr:from>
        <xdr:to>
          <xdr:col>7</xdr:col>
          <xdr:colOff>523875</xdr:colOff>
          <xdr:row>17</xdr:row>
          <xdr:rowOff>66675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Golf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0"/>
  <sheetViews>
    <sheetView tabSelected="1" workbookViewId="0">
      <selection activeCell="I1" sqref="I1"/>
    </sheetView>
  </sheetViews>
  <sheetFormatPr defaultRowHeight="15" x14ac:dyDescent="0.25"/>
  <cols>
    <col min="1" max="1" width="13.42578125" customWidth="1"/>
    <col min="3" max="3" width="16.28515625" customWidth="1"/>
    <col min="4" max="4" width="22.85546875" customWidth="1"/>
    <col min="5" max="10" width="16.28515625" customWidth="1"/>
  </cols>
  <sheetData>
    <row r="1" spans="1:10" x14ac:dyDescent="0.25">
      <c r="A1" s="13">
        <v>2017</v>
      </c>
      <c r="B1" s="4" t="s">
        <v>15</v>
      </c>
    </row>
    <row r="2" spans="1:10" ht="33" customHeight="1" x14ac:dyDescent="0.25">
      <c r="A2" s="4"/>
      <c r="B2" s="7"/>
      <c r="C2" s="7" t="s">
        <v>0</v>
      </c>
      <c r="D2" s="7" t="s">
        <v>1</v>
      </c>
      <c r="E2" s="7" t="s">
        <v>2</v>
      </c>
      <c r="F2" s="7" t="s">
        <v>3</v>
      </c>
      <c r="G2" s="7" t="s">
        <v>4</v>
      </c>
    </row>
    <row r="3" spans="1:10" x14ac:dyDescent="0.25">
      <c r="B3" s="1"/>
      <c r="C3" s="2" t="s">
        <v>5</v>
      </c>
      <c r="D3" s="2">
        <v>542.20000000000005</v>
      </c>
      <c r="E3" s="3">
        <v>14237902</v>
      </c>
      <c r="F3" s="3">
        <v>25557638</v>
      </c>
      <c r="G3" s="3">
        <v>39301374</v>
      </c>
    </row>
    <row r="4" spans="1:10" x14ac:dyDescent="0.25">
      <c r="B4" s="1"/>
      <c r="C4" s="2" t="s">
        <v>6</v>
      </c>
      <c r="D4" s="2">
        <v>81.099999999999994</v>
      </c>
      <c r="E4" s="3">
        <v>2738992</v>
      </c>
      <c r="F4" s="3">
        <v>5042183</v>
      </c>
      <c r="G4" s="3">
        <v>10306629</v>
      </c>
    </row>
    <row r="5" spans="1:10" x14ac:dyDescent="0.25">
      <c r="B5" s="1"/>
      <c r="C5" s="2" t="s">
        <v>7</v>
      </c>
      <c r="D5" s="2">
        <v>91.6</v>
      </c>
      <c r="E5" s="3">
        <v>3027617</v>
      </c>
      <c r="F5" s="3">
        <v>5720733</v>
      </c>
      <c r="G5" s="3">
        <v>10699573</v>
      </c>
    </row>
    <row r="6" spans="1:10" x14ac:dyDescent="0.25">
      <c r="B6" s="1"/>
      <c r="C6" s="2" t="s">
        <v>8</v>
      </c>
      <c r="D6" s="2">
        <v>714.9</v>
      </c>
      <c r="E6" s="3">
        <v>20004511</v>
      </c>
      <c r="F6" s="3">
        <v>36320555</v>
      </c>
      <c r="G6" s="3">
        <v>60307576</v>
      </c>
    </row>
    <row r="8" spans="1:10" x14ac:dyDescent="0.25">
      <c r="B8" s="1"/>
    </row>
    <row r="9" spans="1:10" x14ac:dyDescent="0.25">
      <c r="A9" t="s">
        <v>13</v>
      </c>
      <c r="B9" s="1"/>
      <c r="C9" s="1"/>
      <c r="D9" s="2" t="s">
        <v>9</v>
      </c>
      <c r="E9" s="3">
        <v>43502</v>
      </c>
      <c r="F9" s="3">
        <v>0</v>
      </c>
      <c r="G9" s="3">
        <v>4024747</v>
      </c>
      <c r="H9" s="3">
        <v>351040</v>
      </c>
      <c r="I9" s="3">
        <v>42785</v>
      </c>
      <c r="J9" s="5">
        <f>SUM(E9:I9)</f>
        <v>4462074</v>
      </c>
    </row>
    <row r="10" spans="1:10" x14ac:dyDescent="0.25">
      <c r="A10" t="s">
        <v>13</v>
      </c>
      <c r="B10" s="1"/>
      <c r="C10" s="1"/>
      <c r="D10" s="2" t="s">
        <v>10</v>
      </c>
      <c r="E10" s="3">
        <v>1616812</v>
      </c>
      <c r="F10" s="3">
        <v>65817</v>
      </c>
      <c r="G10" s="3">
        <v>396036</v>
      </c>
      <c r="H10" s="3">
        <v>1075463</v>
      </c>
      <c r="I10" s="3">
        <v>345196</v>
      </c>
      <c r="J10" s="5">
        <f>SUM(E10:I10)</f>
        <v>3499324</v>
      </c>
    </row>
    <row r="12" spans="1:10" x14ac:dyDescent="0.25">
      <c r="A12" t="s">
        <v>14</v>
      </c>
      <c r="B12" s="1"/>
      <c r="C12" s="1"/>
      <c r="D12" s="2" t="s">
        <v>9</v>
      </c>
      <c r="E12" s="3">
        <v>58362</v>
      </c>
      <c r="F12" s="3">
        <v>0</v>
      </c>
      <c r="G12" s="3">
        <v>4859510</v>
      </c>
      <c r="H12" s="3">
        <v>495159</v>
      </c>
      <c r="I12" s="3">
        <v>68084</v>
      </c>
      <c r="J12" s="5">
        <f>SUM(E12:I12)</f>
        <v>5481115</v>
      </c>
    </row>
    <row r="13" spans="1:10" x14ac:dyDescent="0.25">
      <c r="A13" t="s">
        <v>14</v>
      </c>
      <c r="B13" s="1"/>
      <c r="C13" s="1"/>
      <c r="D13" s="2" t="s">
        <v>10</v>
      </c>
      <c r="E13" s="3">
        <v>2169112</v>
      </c>
      <c r="F13" s="3">
        <v>128558</v>
      </c>
      <c r="G13" s="3">
        <v>478177</v>
      </c>
      <c r="H13" s="3">
        <v>1516994</v>
      </c>
      <c r="I13" s="3">
        <v>549313</v>
      </c>
      <c r="J13" s="5">
        <f>SUM(E13:I13)</f>
        <v>4842154</v>
      </c>
    </row>
    <row r="17" spans="1:3" x14ac:dyDescent="0.25">
      <c r="A17" s="16" t="s">
        <v>17</v>
      </c>
      <c r="B17" s="6"/>
    </row>
    <row r="19" spans="1:3" x14ac:dyDescent="0.25">
      <c r="C19" t="s">
        <v>15</v>
      </c>
    </row>
    <row r="20" spans="1:3" x14ac:dyDescent="0.25">
      <c r="B20" t="s">
        <v>15</v>
      </c>
    </row>
  </sheetData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OIA">
                <anchor moveWithCells="1">
                  <from>
                    <xdr:col>3</xdr:col>
                    <xdr:colOff>628650</xdr:colOff>
                    <xdr:row>15</xdr:row>
                    <xdr:rowOff>171450</xdr:rowOff>
                  </from>
                  <to>
                    <xdr:col>3</xdr:col>
                    <xdr:colOff>1362075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hoot">
                <anchor moveWithCells="1">
                  <from>
                    <xdr:col>3</xdr:col>
                    <xdr:colOff>1419225</xdr:colOff>
                    <xdr:row>15</xdr:row>
                    <xdr:rowOff>171450</xdr:rowOff>
                  </from>
                  <to>
                    <xdr:col>4</xdr:col>
                    <xdr:colOff>619125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Hunt">
                <anchor moveWithCells="1">
                  <from>
                    <xdr:col>4</xdr:col>
                    <xdr:colOff>676275</xdr:colOff>
                    <xdr:row>15</xdr:row>
                    <xdr:rowOff>171450</xdr:rowOff>
                  </from>
                  <to>
                    <xdr:col>5</xdr:col>
                    <xdr:colOff>323850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WW">
                <anchor moveWithCells="1">
                  <from>
                    <xdr:col>5</xdr:col>
                    <xdr:colOff>381000</xdr:colOff>
                    <xdr:row>15</xdr:row>
                    <xdr:rowOff>171450</xdr:rowOff>
                  </from>
                  <to>
                    <xdr:col>6</xdr:col>
                    <xdr:colOff>28575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Fish">
                <anchor moveWithCells="1">
                  <from>
                    <xdr:col>6</xdr:col>
                    <xdr:colOff>85725</xdr:colOff>
                    <xdr:row>15</xdr:row>
                    <xdr:rowOff>171450</xdr:rowOff>
                  </from>
                  <to>
                    <xdr:col>6</xdr:col>
                    <xdr:colOff>809625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Golf">
                <anchor moveWithCells="1">
                  <from>
                    <xdr:col>6</xdr:col>
                    <xdr:colOff>885825</xdr:colOff>
                    <xdr:row>15</xdr:row>
                    <xdr:rowOff>171450</xdr:rowOff>
                  </from>
                  <to>
                    <xdr:col>7</xdr:col>
                    <xdr:colOff>523875</xdr:colOff>
                    <xdr:row>17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U12"/>
  <sheetViews>
    <sheetView workbookViewId="0">
      <selection activeCell="A12" sqref="A12"/>
    </sheetView>
  </sheetViews>
  <sheetFormatPr defaultColWidth="9.140625" defaultRowHeight="15" x14ac:dyDescent="0.25"/>
  <cols>
    <col min="1" max="1" width="9.140625" style="8"/>
    <col min="2" max="2" width="13.85546875" style="9" customWidth="1"/>
    <col min="3" max="3" width="15.140625" style="9" customWidth="1"/>
    <col min="4" max="4" width="15.85546875" style="9" customWidth="1"/>
    <col min="5" max="5" width="15" style="9" customWidth="1"/>
    <col min="6" max="6" width="15.85546875" style="9" customWidth="1"/>
    <col min="7" max="10" width="13.85546875" style="9" customWidth="1"/>
    <col min="11" max="11" width="15.28515625" style="9" customWidth="1"/>
    <col min="12" max="12" width="13.85546875" style="9" customWidth="1"/>
    <col min="13" max="14" width="15.85546875" style="9" customWidth="1"/>
    <col min="15" max="15" width="15.42578125" style="9" customWidth="1"/>
    <col min="16" max="16" width="13.85546875" style="9" customWidth="1"/>
    <col min="17" max="17" width="15.7109375" style="9" customWidth="1"/>
    <col min="18" max="19" width="16.140625" style="9" customWidth="1"/>
    <col min="20" max="20" width="15.85546875" style="9" customWidth="1"/>
    <col min="21" max="21" width="13.85546875" style="9" customWidth="1"/>
    <col min="22" max="16384" width="9.140625" style="9"/>
  </cols>
  <sheetData>
    <row r="1" spans="1:21" ht="15" customHeight="1" x14ac:dyDescent="0.25">
      <c r="B1" s="17" t="s">
        <v>5</v>
      </c>
      <c r="C1" s="18"/>
      <c r="D1" s="18"/>
      <c r="E1" s="18"/>
      <c r="F1" s="18"/>
      <c r="G1" s="18"/>
      <c r="H1" s="18" t="s">
        <v>6</v>
      </c>
      <c r="I1" s="18"/>
      <c r="J1" s="18"/>
      <c r="K1" s="18"/>
      <c r="L1" s="18" t="s">
        <v>7</v>
      </c>
      <c r="M1" s="18"/>
      <c r="N1" s="18"/>
      <c r="O1" s="18"/>
      <c r="P1" s="18" t="s">
        <v>8</v>
      </c>
      <c r="Q1" s="18"/>
      <c r="R1" s="18"/>
      <c r="S1" s="18"/>
      <c r="T1" s="18"/>
      <c r="U1" s="19"/>
    </row>
    <row r="2" spans="1:21" ht="15.75" thickBot="1" x14ac:dyDescent="0.3">
      <c r="B2" s="10" t="s">
        <v>1</v>
      </c>
      <c r="C2" s="11" t="s">
        <v>2</v>
      </c>
      <c r="D2" s="11" t="s">
        <v>3</v>
      </c>
      <c r="E2" s="11" t="s">
        <v>4</v>
      </c>
      <c r="F2" s="11" t="s">
        <v>12</v>
      </c>
      <c r="G2" s="11" t="s">
        <v>11</v>
      </c>
      <c r="H2" s="11" t="s">
        <v>1</v>
      </c>
      <c r="I2" s="11" t="s">
        <v>2</v>
      </c>
      <c r="J2" s="11" t="s">
        <v>3</v>
      </c>
      <c r="K2" s="11" t="s">
        <v>4</v>
      </c>
      <c r="L2" s="11" t="s">
        <v>1</v>
      </c>
      <c r="M2" s="11" t="s">
        <v>2</v>
      </c>
      <c r="N2" s="11" t="s">
        <v>3</v>
      </c>
      <c r="O2" s="11" t="s">
        <v>4</v>
      </c>
      <c r="P2" s="11" t="s">
        <v>1</v>
      </c>
      <c r="Q2" s="11" t="s">
        <v>2</v>
      </c>
      <c r="R2" s="11" t="s">
        <v>3</v>
      </c>
      <c r="S2" s="11" t="s">
        <v>4</v>
      </c>
      <c r="T2" s="11" t="s">
        <v>12</v>
      </c>
      <c r="U2" s="12" t="s">
        <v>11</v>
      </c>
    </row>
    <row r="3" spans="1:21" x14ac:dyDescent="0.25">
      <c r="A3" s="6" t="s">
        <v>16</v>
      </c>
      <c r="B3" s="15" t="s">
        <v>16</v>
      </c>
      <c r="C3" s="15" t="s">
        <v>16</v>
      </c>
      <c r="D3" s="15" t="s">
        <v>16</v>
      </c>
      <c r="E3" s="15" t="s">
        <v>16</v>
      </c>
      <c r="F3" s="15" t="s">
        <v>16</v>
      </c>
      <c r="G3" s="15" t="s">
        <v>16</v>
      </c>
      <c r="H3" s="15" t="s">
        <v>16</v>
      </c>
      <c r="I3" s="15" t="s">
        <v>16</v>
      </c>
      <c r="J3" s="15" t="s">
        <v>16</v>
      </c>
      <c r="K3" s="15" t="s">
        <v>16</v>
      </c>
      <c r="L3" s="15" t="s">
        <v>16</v>
      </c>
      <c r="M3" s="15" t="s">
        <v>16</v>
      </c>
      <c r="N3" s="15" t="s">
        <v>16</v>
      </c>
      <c r="O3" s="15" t="s">
        <v>16</v>
      </c>
      <c r="P3" s="15" t="s">
        <v>16</v>
      </c>
      <c r="Q3" s="15" t="s">
        <v>16</v>
      </c>
      <c r="R3" s="15" t="s">
        <v>16</v>
      </c>
      <c r="S3" s="15" t="s">
        <v>16</v>
      </c>
      <c r="T3" s="15" t="s">
        <v>16</v>
      </c>
      <c r="U3" s="15" t="s">
        <v>16</v>
      </c>
    </row>
    <row r="4" spans="1:21" x14ac:dyDescent="0.25">
      <c r="A4" s="6" t="s">
        <v>16</v>
      </c>
      <c r="B4" s="15" t="s">
        <v>16</v>
      </c>
      <c r="C4" s="15" t="s">
        <v>16</v>
      </c>
      <c r="D4" s="15" t="s">
        <v>16</v>
      </c>
      <c r="E4" s="15" t="s">
        <v>16</v>
      </c>
      <c r="F4" s="15" t="s">
        <v>16</v>
      </c>
      <c r="G4" s="15" t="s">
        <v>16</v>
      </c>
      <c r="H4" s="15" t="s">
        <v>16</v>
      </c>
      <c r="I4" s="15" t="s">
        <v>16</v>
      </c>
      <c r="J4" s="15" t="s">
        <v>16</v>
      </c>
      <c r="K4" s="15" t="s">
        <v>16</v>
      </c>
      <c r="L4" s="15" t="s">
        <v>16</v>
      </c>
      <c r="M4" s="15" t="s">
        <v>16</v>
      </c>
      <c r="N4" s="15" t="s">
        <v>16</v>
      </c>
      <c r="O4" s="15" t="s">
        <v>16</v>
      </c>
      <c r="P4" s="15" t="s">
        <v>16</v>
      </c>
      <c r="Q4" s="15" t="s">
        <v>16</v>
      </c>
      <c r="R4" s="15" t="s">
        <v>16</v>
      </c>
      <c r="S4" s="15" t="s">
        <v>16</v>
      </c>
      <c r="T4" s="15" t="s">
        <v>16</v>
      </c>
      <c r="U4" s="15" t="s">
        <v>16</v>
      </c>
    </row>
    <row r="5" spans="1:21" x14ac:dyDescent="0.25">
      <c r="A5" s="6" t="s">
        <v>18</v>
      </c>
      <c r="B5" s="9">
        <v>290406.8</v>
      </c>
      <c r="C5" s="9">
        <v>9688468087</v>
      </c>
      <c r="D5" s="9">
        <v>15818373951</v>
      </c>
      <c r="E5" s="9">
        <v>28297860886</v>
      </c>
      <c r="F5" s="9">
        <v>2614564370</v>
      </c>
      <c r="G5" s="9">
        <v>2376787121</v>
      </c>
      <c r="H5" s="9">
        <v>67968.5</v>
      </c>
      <c r="I5" s="9">
        <v>4519142923</v>
      </c>
      <c r="J5" s="9">
        <v>6790136781</v>
      </c>
      <c r="K5" s="9">
        <v>11853014095</v>
      </c>
      <c r="L5" s="9">
        <v>92685.2</v>
      </c>
      <c r="M5" s="9">
        <v>4276318006</v>
      </c>
      <c r="N5" s="9">
        <v>7564743039</v>
      </c>
      <c r="O5" s="9">
        <v>13177582073</v>
      </c>
      <c r="P5" s="9">
        <v>451060.5</v>
      </c>
      <c r="Q5" s="9">
        <v>18483929017</v>
      </c>
      <c r="R5" s="9">
        <v>30173253771</v>
      </c>
      <c r="S5" s="9">
        <v>53328457055</v>
      </c>
      <c r="T5" s="9">
        <v>3817842375</v>
      </c>
      <c r="U5" s="9">
        <v>4426877200</v>
      </c>
    </row>
    <row r="6" spans="1:21" x14ac:dyDescent="0.25">
      <c r="A6" s="6" t="s">
        <v>19</v>
      </c>
      <c r="B6" s="9">
        <v>49871.3</v>
      </c>
      <c r="C6" s="9">
        <v>1837390051</v>
      </c>
      <c r="D6" s="9">
        <v>2812649984</v>
      </c>
      <c r="E6" s="9">
        <v>4934388706</v>
      </c>
      <c r="F6" s="9">
        <v>446895309</v>
      </c>
      <c r="G6" s="9">
        <v>442034106</v>
      </c>
      <c r="H6" s="9">
        <v>9397.2000000000007</v>
      </c>
      <c r="I6" s="9">
        <v>690646496</v>
      </c>
      <c r="J6" s="9">
        <v>1061262198</v>
      </c>
      <c r="K6" s="9">
        <v>1701358411</v>
      </c>
      <c r="L6" s="9">
        <v>12834.6</v>
      </c>
      <c r="M6" s="9">
        <v>630814948</v>
      </c>
      <c r="N6" s="9">
        <v>1121773616</v>
      </c>
      <c r="O6" s="9">
        <v>1848734652</v>
      </c>
      <c r="P6" s="9">
        <v>72103.100000000006</v>
      </c>
      <c r="Q6" s="9">
        <v>3158851495</v>
      </c>
      <c r="R6" s="9">
        <v>4995685798</v>
      </c>
      <c r="S6" s="9">
        <v>8484481769</v>
      </c>
      <c r="T6" s="9">
        <v>614617535</v>
      </c>
      <c r="U6" s="9">
        <v>759357943</v>
      </c>
    </row>
    <row r="7" spans="1:21" x14ac:dyDescent="0.25">
      <c r="A7" s="6" t="s">
        <v>20</v>
      </c>
      <c r="B7" s="9">
        <v>71795.399999999994</v>
      </c>
      <c r="C7" s="9">
        <v>2201024623</v>
      </c>
      <c r="D7" s="9">
        <v>3717893415</v>
      </c>
      <c r="E7" s="9">
        <v>6938025183</v>
      </c>
      <c r="F7" s="9">
        <v>629967838</v>
      </c>
      <c r="G7" s="9">
        <v>545549483</v>
      </c>
      <c r="H7" s="9">
        <v>12891.7</v>
      </c>
      <c r="I7" s="9">
        <v>698067934</v>
      </c>
      <c r="J7" s="9">
        <v>1134220122</v>
      </c>
      <c r="K7" s="9">
        <v>2026412497</v>
      </c>
      <c r="L7" s="9">
        <v>15325</v>
      </c>
      <c r="M7" s="9">
        <v>665413687</v>
      </c>
      <c r="N7" s="9">
        <v>1222163704</v>
      </c>
      <c r="O7" s="9">
        <v>2091987948</v>
      </c>
      <c r="P7" s="9">
        <v>100012.1</v>
      </c>
      <c r="Q7" s="9">
        <v>3564506244</v>
      </c>
      <c r="R7" s="9">
        <v>6074277241</v>
      </c>
      <c r="S7" s="9">
        <v>11056425629</v>
      </c>
      <c r="T7" s="9">
        <v>825456414</v>
      </c>
      <c r="U7" s="9">
        <v>874160162</v>
      </c>
    </row>
    <row r="8" spans="1:21" x14ac:dyDescent="0.25">
      <c r="A8" s="6" t="s">
        <v>21</v>
      </c>
      <c r="B8" s="9">
        <v>3686.7</v>
      </c>
      <c r="C8" s="9">
        <v>99080773</v>
      </c>
      <c r="D8" s="9">
        <v>147510548</v>
      </c>
      <c r="E8" s="9">
        <v>290980552</v>
      </c>
      <c r="F8" s="9">
        <v>34703362</v>
      </c>
      <c r="G8" s="9">
        <v>23644025</v>
      </c>
      <c r="H8" s="9">
        <v>435.7</v>
      </c>
      <c r="I8" s="9">
        <v>18625528</v>
      </c>
      <c r="J8" s="9">
        <v>26506277</v>
      </c>
      <c r="K8" s="9">
        <v>56938178</v>
      </c>
      <c r="L8" s="9">
        <v>373</v>
      </c>
      <c r="M8" s="9">
        <v>11309130</v>
      </c>
      <c r="N8" s="9">
        <v>24942897</v>
      </c>
      <c r="O8" s="9">
        <v>47459701</v>
      </c>
      <c r="P8" s="9">
        <v>4495.3</v>
      </c>
      <c r="Q8" s="9">
        <v>129015431</v>
      </c>
      <c r="R8" s="9">
        <v>198959722</v>
      </c>
      <c r="S8" s="9">
        <v>395378430</v>
      </c>
      <c r="T8" s="9">
        <v>40839945</v>
      </c>
      <c r="U8" s="9">
        <v>30987571</v>
      </c>
    </row>
    <row r="9" spans="1:21" x14ac:dyDescent="0.25">
      <c r="A9" s="6" t="s">
        <v>22</v>
      </c>
      <c r="B9" s="9">
        <v>88538.2</v>
      </c>
      <c r="C9" s="9">
        <v>3078683252</v>
      </c>
      <c r="D9" s="9">
        <v>4866863422</v>
      </c>
      <c r="E9" s="9">
        <v>8691733067</v>
      </c>
      <c r="F9" s="9">
        <v>850079919</v>
      </c>
      <c r="G9" s="9">
        <v>722750801</v>
      </c>
      <c r="H9" s="9">
        <v>18834.599999999999</v>
      </c>
      <c r="I9" s="9">
        <v>861013346</v>
      </c>
      <c r="J9" s="9">
        <v>1352687725</v>
      </c>
      <c r="K9" s="9">
        <v>2568395897</v>
      </c>
      <c r="L9" s="9">
        <v>20193.400000000001</v>
      </c>
      <c r="M9" s="9">
        <v>823183001</v>
      </c>
      <c r="N9" s="9">
        <v>1519525066</v>
      </c>
      <c r="O9" s="9">
        <v>2638360829</v>
      </c>
      <c r="P9" s="9">
        <v>127566.2</v>
      </c>
      <c r="Q9" s="9">
        <v>4762879599</v>
      </c>
      <c r="R9" s="9">
        <v>7739076213</v>
      </c>
      <c r="S9" s="9">
        <v>13898489793</v>
      </c>
      <c r="T9" s="9">
        <v>1158158220</v>
      </c>
      <c r="U9" s="9">
        <v>1117417780</v>
      </c>
    </row>
    <row r="10" spans="1:21" x14ac:dyDescent="0.25">
      <c r="A10" s="6" t="s">
        <v>23</v>
      </c>
      <c r="B10" s="9">
        <v>45600.7</v>
      </c>
      <c r="C10" s="9">
        <v>999386155</v>
      </c>
      <c r="D10" s="9">
        <v>1762471189</v>
      </c>
      <c r="E10" s="9">
        <v>3572638398</v>
      </c>
      <c r="F10" s="9">
        <v>448582317</v>
      </c>
      <c r="G10" s="9">
        <v>246387899</v>
      </c>
      <c r="H10" s="9">
        <v>7850.7</v>
      </c>
      <c r="I10" s="9">
        <v>313320250</v>
      </c>
      <c r="J10" s="9">
        <v>503616478</v>
      </c>
      <c r="K10" s="9">
        <v>991295023</v>
      </c>
      <c r="L10" s="9">
        <v>6716.9</v>
      </c>
      <c r="M10" s="9">
        <v>253072714</v>
      </c>
      <c r="N10" s="9">
        <v>462578954</v>
      </c>
      <c r="O10" s="9">
        <v>826468483</v>
      </c>
      <c r="P10" s="9">
        <v>60168.3</v>
      </c>
      <c r="Q10" s="9">
        <v>1565779119</v>
      </c>
      <c r="R10" s="9">
        <v>2728666621</v>
      </c>
      <c r="S10" s="9">
        <v>5390401904</v>
      </c>
      <c r="T10" s="9">
        <v>541198889</v>
      </c>
      <c r="U10" s="9">
        <v>374248028</v>
      </c>
    </row>
    <row r="11" spans="1:21" x14ac:dyDescent="0.25">
      <c r="A11" s="6" t="s">
        <v>24</v>
      </c>
      <c r="B11" s="9">
        <v>13238.9</v>
      </c>
      <c r="C11" s="9">
        <v>273229865</v>
      </c>
      <c r="D11" s="9">
        <v>449593480</v>
      </c>
      <c r="E11" s="9">
        <v>937081460</v>
      </c>
      <c r="F11" s="9">
        <v>129766017</v>
      </c>
      <c r="G11" s="9">
        <v>68819104</v>
      </c>
      <c r="H11" s="9">
        <v>1829.1</v>
      </c>
      <c r="I11" s="9">
        <v>69074540</v>
      </c>
      <c r="J11" s="9">
        <v>99050454</v>
      </c>
      <c r="K11" s="9">
        <v>213921974</v>
      </c>
      <c r="L11" s="9">
        <v>1634.4</v>
      </c>
      <c r="M11" s="9">
        <v>58139279</v>
      </c>
      <c r="N11" s="9">
        <v>104842558</v>
      </c>
      <c r="O11" s="9">
        <v>193083428</v>
      </c>
      <c r="P11" s="9">
        <v>16702.400000000001</v>
      </c>
      <c r="Q11" s="9">
        <v>400443685</v>
      </c>
      <c r="R11" s="9">
        <v>653486493</v>
      </c>
      <c r="S11" s="9">
        <v>1344086863</v>
      </c>
      <c r="T11" s="9">
        <v>152029241</v>
      </c>
      <c r="U11" s="9">
        <v>98426717</v>
      </c>
    </row>
    <row r="12" spans="1:21" x14ac:dyDescent="0.25">
      <c r="A12" s="6" t="s">
        <v>25</v>
      </c>
      <c r="B12" s="9">
        <v>34985.1</v>
      </c>
      <c r="C12" s="9">
        <v>1010814948</v>
      </c>
      <c r="D12" s="9">
        <v>1547860118</v>
      </c>
      <c r="E12" s="9">
        <v>2851153026</v>
      </c>
      <c r="F12" s="9">
        <v>359322269</v>
      </c>
      <c r="G12" s="9">
        <v>231584109</v>
      </c>
      <c r="H12" s="9">
        <v>6993.4</v>
      </c>
      <c r="I12" s="9">
        <v>274465305</v>
      </c>
      <c r="J12" s="9">
        <v>423035469</v>
      </c>
      <c r="K12" s="9">
        <v>875989357</v>
      </c>
      <c r="L12" s="9">
        <v>6924</v>
      </c>
      <c r="M12" s="9">
        <v>228693218</v>
      </c>
      <c r="N12" s="9">
        <v>432277009</v>
      </c>
      <c r="O12" s="9">
        <v>808203970</v>
      </c>
      <c r="P12" s="9">
        <v>48902.5</v>
      </c>
      <c r="Q12" s="9">
        <v>1513973471</v>
      </c>
      <c r="R12" s="9">
        <v>2403172596</v>
      </c>
      <c r="S12" s="9">
        <v>4535346354</v>
      </c>
      <c r="T12" s="9">
        <v>447292317</v>
      </c>
      <c r="U12" s="9">
        <v>343794446</v>
      </c>
    </row>
  </sheetData>
  <mergeCells count="4">
    <mergeCell ref="B1:G1"/>
    <mergeCell ref="H1:K1"/>
    <mergeCell ref="L1:O1"/>
    <mergeCell ref="P1:U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U12"/>
  <sheetViews>
    <sheetView workbookViewId="0">
      <selection activeCell="A12" sqref="A12"/>
    </sheetView>
  </sheetViews>
  <sheetFormatPr defaultColWidth="9.140625" defaultRowHeight="15" x14ac:dyDescent="0.25"/>
  <cols>
    <col min="1" max="1" width="9.140625" style="8"/>
    <col min="2" max="2" width="13.85546875" style="9" customWidth="1"/>
    <col min="3" max="3" width="15.140625" style="9" customWidth="1"/>
    <col min="4" max="4" width="15.85546875" style="9" customWidth="1"/>
    <col min="5" max="5" width="15" style="9" customWidth="1"/>
    <col min="6" max="6" width="15.85546875" style="9" customWidth="1"/>
    <col min="7" max="10" width="13.85546875" style="9" customWidth="1"/>
    <col min="11" max="11" width="15.28515625" style="9" customWidth="1"/>
    <col min="12" max="12" width="13.85546875" style="9" customWidth="1"/>
    <col min="13" max="14" width="15.85546875" style="9" customWidth="1"/>
    <col min="15" max="15" width="15.42578125" style="9" customWidth="1"/>
    <col min="16" max="16" width="13.85546875" style="9" customWidth="1"/>
    <col min="17" max="17" width="15.7109375" style="9" customWidth="1"/>
    <col min="18" max="19" width="16.140625" style="9" customWidth="1"/>
    <col min="20" max="20" width="15.85546875" style="9" customWidth="1"/>
    <col min="21" max="21" width="13.85546875" style="9" customWidth="1"/>
    <col min="22" max="16384" width="9.140625" style="9"/>
  </cols>
  <sheetData>
    <row r="1" spans="1:21" ht="15" customHeight="1" x14ac:dyDescent="0.25">
      <c r="B1" s="17" t="s">
        <v>5</v>
      </c>
      <c r="C1" s="18"/>
      <c r="D1" s="18"/>
      <c r="E1" s="18"/>
      <c r="F1" s="18"/>
      <c r="G1" s="18"/>
      <c r="H1" s="18" t="s">
        <v>6</v>
      </c>
      <c r="I1" s="18"/>
      <c r="J1" s="18"/>
      <c r="K1" s="18"/>
      <c r="L1" s="18" t="s">
        <v>7</v>
      </c>
      <c r="M1" s="18"/>
      <c r="N1" s="18"/>
      <c r="O1" s="18"/>
      <c r="P1" s="18" t="s">
        <v>8</v>
      </c>
      <c r="Q1" s="18"/>
      <c r="R1" s="18"/>
      <c r="S1" s="18"/>
      <c r="T1" s="18"/>
      <c r="U1" s="19"/>
    </row>
    <row r="2" spans="1:21" ht="15.75" thickBot="1" x14ac:dyDescent="0.3">
      <c r="B2" s="10" t="s">
        <v>1</v>
      </c>
      <c r="C2" s="11" t="s">
        <v>2</v>
      </c>
      <c r="D2" s="11" t="s">
        <v>3</v>
      </c>
      <c r="E2" s="11" t="s">
        <v>4</v>
      </c>
      <c r="F2" s="11" t="s">
        <v>12</v>
      </c>
      <c r="G2" s="11" t="s">
        <v>11</v>
      </c>
      <c r="H2" s="11" t="s">
        <v>1</v>
      </c>
      <c r="I2" s="11" t="s">
        <v>2</v>
      </c>
      <c r="J2" s="11" t="s">
        <v>3</v>
      </c>
      <c r="K2" s="11" t="s">
        <v>4</v>
      </c>
      <c r="L2" s="11" t="s">
        <v>1</v>
      </c>
      <c r="M2" s="11" t="s">
        <v>2</v>
      </c>
      <c r="N2" s="11" t="s">
        <v>3</v>
      </c>
      <c r="O2" s="11" t="s">
        <v>4</v>
      </c>
      <c r="P2" s="11" t="s">
        <v>1</v>
      </c>
      <c r="Q2" s="11" t="s">
        <v>2</v>
      </c>
      <c r="R2" s="11" t="s">
        <v>3</v>
      </c>
      <c r="S2" s="11" t="s">
        <v>4</v>
      </c>
      <c r="T2" s="11" t="s">
        <v>12</v>
      </c>
      <c r="U2" s="12" t="s">
        <v>11</v>
      </c>
    </row>
    <row r="3" spans="1:21" x14ac:dyDescent="0.25">
      <c r="A3" s="6" t="s">
        <v>16</v>
      </c>
      <c r="B3" s="14" t="s">
        <v>16</v>
      </c>
      <c r="C3" s="14" t="s">
        <v>16</v>
      </c>
      <c r="D3" s="14" t="s">
        <v>16</v>
      </c>
      <c r="E3" s="14" t="s">
        <v>16</v>
      </c>
      <c r="F3" s="14" t="s">
        <v>16</v>
      </c>
      <c r="G3" s="14" t="s">
        <v>16</v>
      </c>
      <c r="H3" s="14" t="s">
        <v>16</v>
      </c>
      <c r="I3" s="14" t="s">
        <v>16</v>
      </c>
      <c r="J3" s="14" t="s">
        <v>16</v>
      </c>
      <c r="K3" s="14" t="s">
        <v>16</v>
      </c>
      <c r="L3" s="14" t="s">
        <v>16</v>
      </c>
      <c r="M3" s="14" t="s">
        <v>16</v>
      </c>
      <c r="N3" s="14" t="s">
        <v>16</v>
      </c>
      <c r="O3" s="14" t="s">
        <v>16</v>
      </c>
      <c r="P3" s="14" t="s">
        <v>16</v>
      </c>
      <c r="Q3" s="14" t="s">
        <v>16</v>
      </c>
      <c r="R3" s="14" t="s">
        <v>16</v>
      </c>
      <c r="S3" s="14" t="s">
        <v>16</v>
      </c>
      <c r="T3" s="14" t="s">
        <v>16</v>
      </c>
      <c r="U3" s="14" t="s">
        <v>16</v>
      </c>
    </row>
    <row r="4" spans="1:21" x14ac:dyDescent="0.25">
      <c r="A4" s="6" t="s">
        <v>16</v>
      </c>
      <c r="B4" s="14" t="s">
        <v>16</v>
      </c>
      <c r="C4" s="14" t="s">
        <v>16</v>
      </c>
      <c r="D4" s="14" t="s">
        <v>16</v>
      </c>
      <c r="E4" s="14" t="s">
        <v>16</v>
      </c>
      <c r="F4" s="14" t="s">
        <v>16</v>
      </c>
      <c r="G4" s="14" t="s">
        <v>16</v>
      </c>
      <c r="H4" s="14" t="s">
        <v>16</v>
      </c>
      <c r="I4" s="14" t="s">
        <v>16</v>
      </c>
      <c r="J4" s="14" t="s">
        <v>16</v>
      </c>
      <c r="K4" s="14" t="s">
        <v>16</v>
      </c>
      <c r="L4" s="14" t="s">
        <v>16</v>
      </c>
      <c r="M4" s="14" t="s">
        <v>16</v>
      </c>
      <c r="N4" s="14" t="s">
        <v>16</v>
      </c>
      <c r="O4" s="14" t="s">
        <v>16</v>
      </c>
      <c r="P4" s="14" t="s">
        <v>16</v>
      </c>
      <c r="Q4" s="14" t="s">
        <v>16</v>
      </c>
      <c r="R4" s="14" t="s">
        <v>16</v>
      </c>
      <c r="S4" s="14" t="s">
        <v>16</v>
      </c>
      <c r="T4" s="14" t="s">
        <v>16</v>
      </c>
      <c r="U4" s="14" t="s">
        <v>16</v>
      </c>
    </row>
    <row r="5" spans="1:21" x14ac:dyDescent="0.25">
      <c r="A5" s="6" t="s">
        <v>18</v>
      </c>
      <c r="B5" s="9">
        <v>4904.8</v>
      </c>
      <c r="C5" s="9">
        <v>163810964</v>
      </c>
      <c r="D5" s="9">
        <v>261692065</v>
      </c>
      <c r="E5" s="9">
        <v>472859022</v>
      </c>
      <c r="F5" s="9">
        <v>36694620</v>
      </c>
      <c r="G5" s="9">
        <v>39295151</v>
      </c>
      <c r="H5" s="9">
        <v>1091.8</v>
      </c>
      <c r="I5" s="9">
        <v>68081027</v>
      </c>
      <c r="J5" s="9">
        <v>106866902</v>
      </c>
      <c r="K5" s="9">
        <v>188300471</v>
      </c>
      <c r="L5" s="9">
        <v>1513.7</v>
      </c>
      <c r="M5" s="9">
        <v>69841308</v>
      </c>
      <c r="N5" s="9">
        <v>123545018</v>
      </c>
      <c r="O5" s="9">
        <v>215218941</v>
      </c>
      <c r="P5" s="9">
        <v>7510.3</v>
      </c>
      <c r="Q5" s="9">
        <v>301733299</v>
      </c>
      <c r="R5" s="9">
        <v>492103985</v>
      </c>
      <c r="S5" s="9">
        <v>876378434</v>
      </c>
      <c r="T5" s="9">
        <v>55448995</v>
      </c>
      <c r="U5" s="9">
        <v>72068441</v>
      </c>
    </row>
    <row r="6" spans="1:21" x14ac:dyDescent="0.25">
      <c r="A6" s="6" t="s">
        <v>19</v>
      </c>
      <c r="B6" s="9">
        <v>1131.8</v>
      </c>
      <c r="C6" s="9">
        <v>42281035</v>
      </c>
      <c r="D6" s="9">
        <v>62053553</v>
      </c>
      <c r="E6" s="9">
        <v>109215947</v>
      </c>
      <c r="F6" s="9">
        <v>8311628</v>
      </c>
      <c r="G6" s="9">
        <v>9975327</v>
      </c>
      <c r="H6" s="9">
        <v>202.1</v>
      </c>
      <c r="I6" s="9">
        <v>13571156</v>
      </c>
      <c r="J6" s="9">
        <v>22020317</v>
      </c>
      <c r="K6" s="9">
        <v>35987056</v>
      </c>
      <c r="L6" s="9">
        <v>284.3</v>
      </c>
      <c r="M6" s="9">
        <v>13975791</v>
      </c>
      <c r="N6" s="9">
        <v>24850843</v>
      </c>
      <c r="O6" s="9">
        <v>40959977</v>
      </c>
      <c r="P6" s="9">
        <v>1618.2</v>
      </c>
      <c r="Q6" s="9">
        <v>69827982</v>
      </c>
      <c r="R6" s="9">
        <v>108924713</v>
      </c>
      <c r="S6" s="9">
        <v>186162980</v>
      </c>
      <c r="T6" s="9">
        <v>11816883</v>
      </c>
      <c r="U6" s="9">
        <v>16749132</v>
      </c>
    </row>
    <row r="7" spans="1:21" x14ac:dyDescent="0.25">
      <c r="A7" s="6" t="s">
        <v>20</v>
      </c>
      <c r="B7" s="9">
        <v>1475.2</v>
      </c>
      <c r="C7" s="9">
        <v>48558940</v>
      </c>
      <c r="D7" s="9">
        <v>78296655</v>
      </c>
      <c r="E7" s="9">
        <v>138222108</v>
      </c>
      <c r="F7" s="9">
        <v>11012432</v>
      </c>
      <c r="G7" s="9">
        <v>11452818</v>
      </c>
      <c r="H7" s="9">
        <v>249.1</v>
      </c>
      <c r="I7" s="9">
        <v>13161277</v>
      </c>
      <c r="J7" s="9">
        <v>21997960</v>
      </c>
      <c r="K7" s="9">
        <v>38829182</v>
      </c>
      <c r="L7" s="9">
        <v>325.8</v>
      </c>
      <c r="M7" s="9">
        <v>14143436</v>
      </c>
      <c r="N7" s="9">
        <v>25981523</v>
      </c>
      <c r="O7" s="9">
        <v>44467558</v>
      </c>
      <c r="P7" s="9">
        <v>2050.1999999999998</v>
      </c>
      <c r="Q7" s="9">
        <v>75863653</v>
      </c>
      <c r="R7" s="9">
        <v>126276138</v>
      </c>
      <c r="S7" s="9">
        <v>221518848</v>
      </c>
      <c r="T7" s="9">
        <v>14923047</v>
      </c>
      <c r="U7" s="9">
        <v>18103167</v>
      </c>
    </row>
    <row r="8" spans="1:21" x14ac:dyDescent="0.25">
      <c r="A8" s="6" t="s">
        <v>21</v>
      </c>
      <c r="B8" s="9">
        <v>197.5</v>
      </c>
      <c r="C8" s="9">
        <v>5267965</v>
      </c>
      <c r="D8" s="9">
        <v>7522015</v>
      </c>
      <c r="E8" s="9">
        <v>14191293</v>
      </c>
      <c r="F8" s="9">
        <v>1712373</v>
      </c>
      <c r="G8" s="9">
        <v>1183340</v>
      </c>
      <c r="H8" s="9">
        <v>22.1</v>
      </c>
      <c r="I8" s="9">
        <v>938539</v>
      </c>
      <c r="J8" s="9">
        <v>1342344</v>
      </c>
      <c r="K8" s="9">
        <v>2868013</v>
      </c>
      <c r="L8" s="9">
        <v>19.7</v>
      </c>
      <c r="M8" s="9">
        <v>596582</v>
      </c>
      <c r="N8" s="9">
        <v>1317125</v>
      </c>
      <c r="O8" s="9">
        <v>2504882</v>
      </c>
      <c r="P8" s="9">
        <v>239.3</v>
      </c>
      <c r="Q8" s="9">
        <v>6803086</v>
      </c>
      <c r="R8" s="9">
        <v>10181484</v>
      </c>
      <c r="S8" s="9">
        <v>19564188</v>
      </c>
      <c r="T8" s="9">
        <v>2030855</v>
      </c>
      <c r="U8" s="9">
        <v>1562447</v>
      </c>
    </row>
    <row r="9" spans="1:21" x14ac:dyDescent="0.25">
      <c r="A9" s="6" t="s">
        <v>22</v>
      </c>
      <c r="B9" s="9">
        <v>654.5</v>
      </c>
      <c r="C9" s="9">
        <v>22475324</v>
      </c>
      <c r="D9" s="9">
        <v>35709642</v>
      </c>
      <c r="E9" s="9">
        <v>67334351</v>
      </c>
      <c r="F9" s="9">
        <v>5095601</v>
      </c>
      <c r="G9" s="9">
        <v>5425040</v>
      </c>
      <c r="H9" s="9">
        <v>134.9</v>
      </c>
      <c r="I9" s="9">
        <v>6055014</v>
      </c>
      <c r="J9" s="9">
        <v>9808903</v>
      </c>
      <c r="K9" s="9">
        <v>18600185</v>
      </c>
      <c r="L9" s="9">
        <v>147.19999999999999</v>
      </c>
      <c r="M9" s="9">
        <v>6003944</v>
      </c>
      <c r="N9" s="9">
        <v>11078827</v>
      </c>
      <c r="O9" s="9">
        <v>19241933</v>
      </c>
      <c r="P9" s="9">
        <v>936.6</v>
      </c>
      <c r="Q9" s="9">
        <v>34534282</v>
      </c>
      <c r="R9" s="9">
        <v>56597373</v>
      </c>
      <c r="S9" s="9">
        <v>105176469</v>
      </c>
      <c r="T9" s="9">
        <v>7258272</v>
      </c>
      <c r="U9" s="9">
        <v>8280736</v>
      </c>
    </row>
    <row r="10" spans="1:21" x14ac:dyDescent="0.25">
      <c r="A10" s="6" t="s">
        <v>23</v>
      </c>
      <c r="B10" s="9">
        <v>828.1</v>
      </c>
      <c r="C10" s="9">
        <v>21434291</v>
      </c>
      <c r="D10" s="9">
        <v>35639284</v>
      </c>
      <c r="E10" s="9">
        <v>70639586</v>
      </c>
      <c r="F10" s="9">
        <v>6765807</v>
      </c>
      <c r="G10" s="9">
        <v>4964211</v>
      </c>
      <c r="H10" s="9">
        <v>135.6</v>
      </c>
      <c r="I10" s="9">
        <v>5727162</v>
      </c>
      <c r="J10" s="9">
        <v>9272943</v>
      </c>
      <c r="K10" s="9">
        <v>17927147</v>
      </c>
      <c r="L10" s="9">
        <v>139.1</v>
      </c>
      <c r="M10" s="9">
        <v>5241454</v>
      </c>
      <c r="N10" s="9">
        <v>9581622</v>
      </c>
      <c r="O10" s="9">
        <v>17117857</v>
      </c>
      <c r="P10" s="9">
        <v>1102.9000000000001</v>
      </c>
      <c r="Q10" s="9">
        <v>32402907</v>
      </c>
      <c r="R10" s="9">
        <v>54493848</v>
      </c>
      <c r="S10" s="9">
        <v>105684590</v>
      </c>
      <c r="T10" s="9">
        <v>8464648</v>
      </c>
      <c r="U10" s="9">
        <v>7453664</v>
      </c>
    </row>
    <row r="11" spans="1:21" x14ac:dyDescent="0.25">
      <c r="A11" s="6" t="s">
        <v>24</v>
      </c>
      <c r="B11" s="9">
        <v>409.6</v>
      </c>
      <c r="C11" s="9">
        <v>8683167</v>
      </c>
      <c r="D11" s="9">
        <v>13465948</v>
      </c>
      <c r="E11" s="9">
        <v>26446861</v>
      </c>
      <c r="F11" s="9">
        <v>3505975</v>
      </c>
      <c r="G11" s="9">
        <v>2089806</v>
      </c>
      <c r="H11" s="9">
        <v>51.8</v>
      </c>
      <c r="I11" s="9">
        <v>1981751</v>
      </c>
      <c r="J11" s="9">
        <v>2850290</v>
      </c>
      <c r="K11" s="9">
        <v>6074814</v>
      </c>
      <c r="L11" s="9">
        <v>51</v>
      </c>
      <c r="M11" s="9">
        <v>1812911</v>
      </c>
      <c r="N11" s="9">
        <v>3269828</v>
      </c>
      <c r="O11" s="9">
        <v>6021374</v>
      </c>
      <c r="P11" s="9">
        <v>512.29999999999995</v>
      </c>
      <c r="Q11" s="9">
        <v>12477829</v>
      </c>
      <c r="R11" s="9">
        <v>19586066</v>
      </c>
      <c r="S11" s="9">
        <v>38543049</v>
      </c>
      <c r="T11" s="9">
        <v>4165178</v>
      </c>
      <c r="U11" s="9">
        <v>2976805</v>
      </c>
    </row>
    <row r="12" spans="1:21" x14ac:dyDescent="0.25">
      <c r="A12" s="6" t="s">
        <v>25</v>
      </c>
      <c r="B12" s="9">
        <v>428</v>
      </c>
      <c r="C12" s="9">
        <v>12514305</v>
      </c>
      <c r="D12" s="9">
        <v>18210633</v>
      </c>
      <c r="E12" s="9">
        <v>35070812</v>
      </c>
      <c r="F12" s="9">
        <v>3852458</v>
      </c>
      <c r="G12" s="9">
        <v>2763182</v>
      </c>
      <c r="H12" s="9">
        <v>81.099999999999994</v>
      </c>
      <c r="I12" s="9">
        <v>3259880</v>
      </c>
      <c r="J12" s="9">
        <v>5106148</v>
      </c>
      <c r="K12" s="9">
        <v>10554015</v>
      </c>
      <c r="L12" s="9">
        <v>84.9</v>
      </c>
      <c r="M12" s="9">
        <v>2804763</v>
      </c>
      <c r="N12" s="9">
        <v>5302175</v>
      </c>
      <c r="O12" s="9">
        <v>9912073</v>
      </c>
      <c r="P12" s="9">
        <v>594</v>
      </c>
      <c r="Q12" s="9">
        <v>18578948</v>
      </c>
      <c r="R12" s="9">
        <v>28618957</v>
      </c>
      <c r="S12" s="9">
        <v>55536900</v>
      </c>
      <c r="T12" s="9">
        <v>4904520</v>
      </c>
      <c r="U12" s="9">
        <v>4123768</v>
      </c>
    </row>
  </sheetData>
  <mergeCells count="4">
    <mergeCell ref="B1:G1"/>
    <mergeCell ref="H1:K1"/>
    <mergeCell ref="L1:O1"/>
    <mergeCell ref="P1:U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U12"/>
  <sheetViews>
    <sheetView topLeftCell="J1" workbookViewId="0">
      <selection activeCell="A12" sqref="A12"/>
    </sheetView>
  </sheetViews>
  <sheetFormatPr defaultColWidth="9.140625" defaultRowHeight="15" x14ac:dyDescent="0.25"/>
  <cols>
    <col min="1" max="1" width="9.140625" style="8"/>
    <col min="2" max="2" width="13.85546875" style="9" customWidth="1"/>
    <col min="3" max="3" width="15.140625" style="9" customWidth="1"/>
    <col min="4" max="4" width="15.85546875" style="9" customWidth="1"/>
    <col min="5" max="5" width="15" style="9" customWidth="1"/>
    <col min="6" max="6" width="15.85546875" style="9" customWidth="1"/>
    <col min="7" max="10" width="13.85546875" style="9" customWidth="1"/>
    <col min="11" max="11" width="15.28515625" style="9" customWidth="1"/>
    <col min="12" max="12" width="13.85546875" style="9" customWidth="1"/>
    <col min="13" max="14" width="15.85546875" style="9" customWidth="1"/>
    <col min="15" max="15" width="15.42578125" style="9" customWidth="1"/>
    <col min="16" max="16" width="13.85546875" style="9" customWidth="1"/>
    <col min="17" max="17" width="15.7109375" style="9" customWidth="1"/>
    <col min="18" max="19" width="16.140625" style="9" customWidth="1"/>
    <col min="20" max="20" width="15.85546875" style="9" customWidth="1"/>
    <col min="21" max="21" width="13.85546875" style="9" customWidth="1"/>
    <col min="22" max="16384" width="9.140625" style="9"/>
  </cols>
  <sheetData>
    <row r="1" spans="1:21" ht="15" customHeight="1" x14ac:dyDescent="0.25">
      <c r="B1" s="17" t="s">
        <v>5</v>
      </c>
      <c r="C1" s="18"/>
      <c r="D1" s="18"/>
      <c r="E1" s="18"/>
      <c r="F1" s="18"/>
      <c r="G1" s="18"/>
      <c r="H1" s="18" t="s">
        <v>6</v>
      </c>
      <c r="I1" s="18"/>
      <c r="J1" s="18"/>
      <c r="K1" s="18"/>
      <c r="L1" s="18" t="s">
        <v>7</v>
      </c>
      <c r="M1" s="18"/>
      <c r="N1" s="18"/>
      <c r="O1" s="18"/>
      <c r="P1" s="18" t="s">
        <v>8</v>
      </c>
      <c r="Q1" s="18"/>
      <c r="R1" s="18"/>
      <c r="S1" s="18"/>
      <c r="T1" s="18"/>
      <c r="U1" s="19"/>
    </row>
    <row r="2" spans="1:21" ht="15.75" thickBot="1" x14ac:dyDescent="0.3">
      <c r="B2" s="10" t="s">
        <v>1</v>
      </c>
      <c r="C2" s="11" t="s">
        <v>2</v>
      </c>
      <c r="D2" s="11" t="s">
        <v>3</v>
      </c>
      <c r="E2" s="11" t="s">
        <v>4</v>
      </c>
      <c r="F2" s="11" t="s">
        <v>12</v>
      </c>
      <c r="G2" s="11" t="s">
        <v>11</v>
      </c>
      <c r="H2" s="11" t="s">
        <v>1</v>
      </c>
      <c r="I2" s="11" t="s">
        <v>2</v>
      </c>
      <c r="J2" s="11" t="s">
        <v>3</v>
      </c>
      <c r="K2" s="11" t="s">
        <v>4</v>
      </c>
      <c r="L2" s="11" t="s">
        <v>1</v>
      </c>
      <c r="M2" s="11" t="s">
        <v>2</v>
      </c>
      <c r="N2" s="11" t="s">
        <v>3</v>
      </c>
      <c r="O2" s="11" t="s">
        <v>4</v>
      </c>
      <c r="P2" s="11" t="s">
        <v>1</v>
      </c>
      <c r="Q2" s="11" t="s">
        <v>2</v>
      </c>
      <c r="R2" s="11" t="s">
        <v>3</v>
      </c>
      <c r="S2" s="11" t="s">
        <v>4</v>
      </c>
      <c r="T2" s="11" t="s">
        <v>12</v>
      </c>
      <c r="U2" s="12" t="s">
        <v>11</v>
      </c>
    </row>
    <row r="3" spans="1:21" x14ac:dyDescent="0.25">
      <c r="A3" s="6" t="s">
        <v>16</v>
      </c>
      <c r="B3" s="14" t="s">
        <v>16</v>
      </c>
      <c r="C3" s="14" t="s">
        <v>16</v>
      </c>
      <c r="D3" s="14" t="s">
        <v>16</v>
      </c>
      <c r="E3" s="14" t="s">
        <v>16</v>
      </c>
      <c r="F3" s="14" t="s">
        <v>16</v>
      </c>
      <c r="G3" s="14" t="s">
        <v>16</v>
      </c>
      <c r="H3" s="14" t="s">
        <v>16</v>
      </c>
      <c r="I3" s="14" t="s">
        <v>16</v>
      </c>
      <c r="J3" s="14" t="s">
        <v>16</v>
      </c>
      <c r="K3" s="14" t="s">
        <v>16</v>
      </c>
      <c r="L3" s="14" t="s">
        <v>16</v>
      </c>
      <c r="M3" s="14" t="s">
        <v>16</v>
      </c>
      <c r="N3" s="14" t="s">
        <v>16</v>
      </c>
      <c r="O3" s="14" t="s">
        <v>16</v>
      </c>
      <c r="P3" s="14" t="s">
        <v>16</v>
      </c>
      <c r="Q3" s="14" t="s">
        <v>16</v>
      </c>
      <c r="R3" s="14" t="s">
        <v>16</v>
      </c>
      <c r="S3" s="14" t="s">
        <v>16</v>
      </c>
      <c r="T3" s="14" t="s">
        <v>16</v>
      </c>
      <c r="U3" s="14" t="s">
        <v>16</v>
      </c>
    </row>
    <row r="4" spans="1:21" x14ac:dyDescent="0.25">
      <c r="A4" s="6" t="s">
        <v>16</v>
      </c>
      <c r="B4" s="14" t="s">
        <v>16</v>
      </c>
      <c r="C4" s="14" t="s">
        <v>16</v>
      </c>
      <c r="D4" s="14" t="s">
        <v>16</v>
      </c>
      <c r="E4" s="14" t="s">
        <v>16</v>
      </c>
      <c r="F4" s="14" t="s">
        <v>16</v>
      </c>
      <c r="G4" s="14" t="s">
        <v>16</v>
      </c>
      <c r="H4" s="14" t="s">
        <v>16</v>
      </c>
      <c r="I4" s="14" t="s">
        <v>16</v>
      </c>
      <c r="J4" s="14" t="s">
        <v>16</v>
      </c>
      <c r="K4" s="14" t="s">
        <v>16</v>
      </c>
      <c r="L4" s="14" t="s">
        <v>16</v>
      </c>
      <c r="M4" s="14" t="s">
        <v>16</v>
      </c>
      <c r="N4" s="14" t="s">
        <v>16</v>
      </c>
      <c r="O4" s="14" t="s">
        <v>16</v>
      </c>
      <c r="P4" s="14" t="s">
        <v>16</v>
      </c>
      <c r="Q4" s="14" t="s">
        <v>16</v>
      </c>
      <c r="R4" s="14" t="s">
        <v>16</v>
      </c>
      <c r="S4" s="14" t="s">
        <v>16</v>
      </c>
      <c r="T4" s="14" t="s">
        <v>16</v>
      </c>
      <c r="U4" s="14" t="s">
        <v>16</v>
      </c>
    </row>
    <row r="5" spans="1:21" x14ac:dyDescent="0.25">
      <c r="A5" s="6" t="s">
        <v>18</v>
      </c>
      <c r="B5" s="9">
        <v>5568.9</v>
      </c>
      <c r="C5" s="9">
        <v>147456797</v>
      </c>
      <c r="D5" s="9">
        <v>238500009</v>
      </c>
      <c r="E5" s="9">
        <v>460821028</v>
      </c>
      <c r="F5" s="9">
        <v>25961221</v>
      </c>
      <c r="G5" s="9">
        <v>34919750</v>
      </c>
      <c r="H5" s="9">
        <v>995.8</v>
      </c>
      <c r="I5" s="9">
        <v>63038263</v>
      </c>
      <c r="J5" s="9">
        <v>97287063</v>
      </c>
      <c r="K5" s="9">
        <v>170225336</v>
      </c>
      <c r="L5" s="9">
        <v>1372.2</v>
      </c>
      <c r="M5" s="9">
        <v>63307255</v>
      </c>
      <c r="N5" s="9">
        <v>111993588</v>
      </c>
      <c r="O5" s="9">
        <v>195081403</v>
      </c>
      <c r="P5" s="9">
        <v>7937</v>
      </c>
      <c r="Q5" s="9">
        <v>273802314</v>
      </c>
      <c r="R5" s="9">
        <v>447780660</v>
      </c>
      <c r="S5" s="9">
        <v>826127767</v>
      </c>
      <c r="T5" s="9">
        <v>43299732</v>
      </c>
      <c r="U5" s="9">
        <v>64770313</v>
      </c>
    </row>
    <row r="6" spans="1:21" x14ac:dyDescent="0.25">
      <c r="A6" s="6" t="s">
        <v>19</v>
      </c>
      <c r="B6" s="9">
        <v>842.3</v>
      </c>
      <c r="C6" s="9">
        <v>29426043</v>
      </c>
      <c r="D6" s="9">
        <v>50777704</v>
      </c>
      <c r="E6" s="9">
        <v>100307728</v>
      </c>
      <c r="F6" s="9">
        <v>5058430</v>
      </c>
      <c r="G6" s="9">
        <v>7332386</v>
      </c>
      <c r="H6" s="9">
        <v>184.5</v>
      </c>
      <c r="I6" s="9">
        <v>12086339</v>
      </c>
      <c r="J6" s="9">
        <v>19385828</v>
      </c>
      <c r="K6" s="9">
        <v>31816688</v>
      </c>
      <c r="L6" s="9">
        <v>211.1</v>
      </c>
      <c r="M6" s="9">
        <v>10375912</v>
      </c>
      <c r="N6" s="9">
        <v>18450435</v>
      </c>
      <c r="O6" s="9">
        <v>30409216</v>
      </c>
      <c r="P6" s="9">
        <v>1237.9000000000001</v>
      </c>
      <c r="Q6" s="9">
        <v>51888294</v>
      </c>
      <c r="R6" s="9">
        <v>88613967</v>
      </c>
      <c r="S6" s="9">
        <v>162533633</v>
      </c>
      <c r="T6" s="9">
        <v>7875840</v>
      </c>
      <c r="U6" s="9">
        <v>12838375</v>
      </c>
    </row>
    <row r="7" spans="1:21" x14ac:dyDescent="0.25">
      <c r="A7" s="6" t="s">
        <v>20</v>
      </c>
      <c r="B7" s="9">
        <v>1355</v>
      </c>
      <c r="C7" s="9">
        <v>38338493</v>
      </c>
      <c r="D7" s="9">
        <v>66947463</v>
      </c>
      <c r="E7" s="9">
        <v>140282077</v>
      </c>
      <c r="F7" s="9">
        <v>7678336</v>
      </c>
      <c r="G7" s="9">
        <v>9265657</v>
      </c>
      <c r="H7" s="9">
        <v>256.10000000000002</v>
      </c>
      <c r="I7" s="9">
        <v>13588275</v>
      </c>
      <c r="J7" s="9">
        <v>22094973</v>
      </c>
      <c r="K7" s="9">
        <v>38959682</v>
      </c>
      <c r="L7" s="9">
        <v>274</v>
      </c>
      <c r="M7" s="9">
        <v>11891118</v>
      </c>
      <c r="N7" s="9">
        <v>21845541</v>
      </c>
      <c r="O7" s="9">
        <v>37386935</v>
      </c>
      <c r="P7" s="9">
        <v>1885</v>
      </c>
      <c r="Q7" s="9">
        <v>63817886</v>
      </c>
      <c r="R7" s="9">
        <v>110887978</v>
      </c>
      <c r="S7" s="9">
        <v>216628694</v>
      </c>
      <c r="T7" s="9">
        <v>11263253</v>
      </c>
      <c r="U7" s="9">
        <v>15411001</v>
      </c>
    </row>
    <row r="8" spans="1:21" x14ac:dyDescent="0.25">
      <c r="A8" s="6" t="s">
        <v>21</v>
      </c>
      <c r="B8" s="9">
        <v>326.60000000000002</v>
      </c>
      <c r="C8" s="9">
        <v>6212495</v>
      </c>
      <c r="D8" s="9">
        <v>8052979</v>
      </c>
      <c r="E8" s="9">
        <v>14445646</v>
      </c>
      <c r="F8" s="9">
        <v>1503767</v>
      </c>
      <c r="G8" s="9">
        <v>1373356</v>
      </c>
      <c r="H8" s="9">
        <v>19</v>
      </c>
      <c r="I8" s="9">
        <v>851603</v>
      </c>
      <c r="J8" s="9">
        <v>1196300</v>
      </c>
      <c r="K8" s="9">
        <v>2540770</v>
      </c>
      <c r="L8" s="9">
        <v>22.4</v>
      </c>
      <c r="M8" s="9">
        <v>678655</v>
      </c>
      <c r="N8" s="9">
        <v>1496569</v>
      </c>
      <c r="O8" s="9">
        <v>2847801</v>
      </c>
      <c r="P8" s="9">
        <v>368</v>
      </c>
      <c r="Q8" s="9">
        <v>7742753</v>
      </c>
      <c r="R8" s="9">
        <v>10745848</v>
      </c>
      <c r="S8" s="9">
        <v>19834218</v>
      </c>
      <c r="T8" s="9">
        <v>1834278</v>
      </c>
      <c r="U8" s="9">
        <v>1754593</v>
      </c>
    </row>
    <row r="9" spans="1:21" x14ac:dyDescent="0.25">
      <c r="A9" s="6" t="s">
        <v>22</v>
      </c>
      <c r="B9" s="9">
        <v>1118.3</v>
      </c>
      <c r="C9" s="9">
        <v>32900797</v>
      </c>
      <c r="D9" s="9">
        <v>47655402</v>
      </c>
      <c r="E9" s="9">
        <v>83098117</v>
      </c>
      <c r="F9" s="9">
        <v>5414743</v>
      </c>
      <c r="G9" s="9">
        <v>7558072</v>
      </c>
      <c r="H9" s="9">
        <v>160.69999999999999</v>
      </c>
      <c r="I9" s="9">
        <v>7623706</v>
      </c>
      <c r="J9" s="9">
        <v>11676393</v>
      </c>
      <c r="K9" s="9">
        <v>22355302</v>
      </c>
      <c r="L9" s="9">
        <v>208.8</v>
      </c>
      <c r="M9" s="9">
        <v>8516714</v>
      </c>
      <c r="N9" s="9">
        <v>15716572</v>
      </c>
      <c r="O9" s="9">
        <v>27295365</v>
      </c>
      <c r="P9" s="9">
        <v>1487.8</v>
      </c>
      <c r="Q9" s="9">
        <v>49041217</v>
      </c>
      <c r="R9" s="9">
        <v>75048367</v>
      </c>
      <c r="S9" s="9">
        <v>132748784</v>
      </c>
      <c r="T9" s="9">
        <v>8499899</v>
      </c>
      <c r="U9" s="9">
        <v>11344261</v>
      </c>
    </row>
    <row r="10" spans="1:21" x14ac:dyDescent="0.25">
      <c r="A10" s="6" t="s">
        <v>23</v>
      </c>
      <c r="B10" s="9">
        <v>977.3</v>
      </c>
      <c r="C10" s="9">
        <v>17906370</v>
      </c>
      <c r="D10" s="9">
        <v>29420507</v>
      </c>
      <c r="E10" s="9">
        <v>61692575</v>
      </c>
      <c r="F10" s="9">
        <v>4487400</v>
      </c>
      <c r="G10" s="9">
        <v>4072983</v>
      </c>
      <c r="H10" s="9">
        <v>119</v>
      </c>
      <c r="I10" s="9">
        <v>4896943</v>
      </c>
      <c r="J10" s="9">
        <v>7842863</v>
      </c>
      <c r="K10" s="9">
        <v>15226858</v>
      </c>
      <c r="L10" s="9">
        <v>116.8</v>
      </c>
      <c r="M10" s="9">
        <v>4399891</v>
      </c>
      <c r="N10" s="9">
        <v>8043094</v>
      </c>
      <c r="O10" s="9">
        <v>14369361</v>
      </c>
      <c r="P10" s="9">
        <v>1213.0999999999999</v>
      </c>
      <c r="Q10" s="9">
        <v>27203205</v>
      </c>
      <c r="R10" s="9">
        <v>45306464</v>
      </c>
      <c r="S10" s="9">
        <v>91288794</v>
      </c>
      <c r="T10" s="9">
        <v>5927095</v>
      </c>
      <c r="U10" s="9">
        <v>6175588</v>
      </c>
    </row>
    <row r="11" spans="1:21" x14ac:dyDescent="0.25">
      <c r="A11" s="6" t="s">
        <v>24</v>
      </c>
      <c r="B11" s="9">
        <v>380.6</v>
      </c>
      <c r="C11" s="9">
        <v>5831384</v>
      </c>
      <c r="D11" s="9">
        <v>8476639</v>
      </c>
      <c r="E11" s="9">
        <v>15699599</v>
      </c>
      <c r="F11" s="9">
        <v>1719906</v>
      </c>
      <c r="G11" s="9">
        <v>1344592</v>
      </c>
      <c r="H11" s="9">
        <v>29.2</v>
      </c>
      <c r="I11" s="9">
        <v>1094332</v>
      </c>
      <c r="J11" s="9">
        <v>1606389</v>
      </c>
      <c r="K11" s="9">
        <v>3428678</v>
      </c>
      <c r="L11" s="9">
        <v>33.1</v>
      </c>
      <c r="M11" s="9">
        <v>1177137</v>
      </c>
      <c r="N11" s="9">
        <v>2123061</v>
      </c>
      <c r="O11" s="9">
        <v>3909661</v>
      </c>
      <c r="P11" s="9">
        <v>442.9</v>
      </c>
      <c r="Q11" s="9">
        <v>8102853</v>
      </c>
      <c r="R11" s="9">
        <v>12206089</v>
      </c>
      <c r="S11" s="9">
        <v>23037938</v>
      </c>
      <c r="T11" s="9">
        <v>2121087</v>
      </c>
      <c r="U11" s="9">
        <v>1880919</v>
      </c>
    </row>
    <row r="12" spans="1:21" x14ac:dyDescent="0.25">
      <c r="A12" s="6" t="s">
        <v>25</v>
      </c>
      <c r="B12" s="9">
        <v>703.8</v>
      </c>
      <c r="C12" s="9">
        <v>15340830</v>
      </c>
      <c r="D12" s="9">
        <v>20115096</v>
      </c>
      <c r="E12" s="9">
        <v>33499233</v>
      </c>
      <c r="F12" s="9">
        <v>3323709</v>
      </c>
      <c r="G12" s="9">
        <v>3263748</v>
      </c>
      <c r="H12" s="9">
        <v>67.5</v>
      </c>
      <c r="I12" s="9">
        <v>2794375</v>
      </c>
      <c r="J12" s="9">
        <v>4268062</v>
      </c>
      <c r="K12" s="9">
        <v>8803122</v>
      </c>
      <c r="L12" s="9">
        <v>97.7</v>
      </c>
      <c r="M12" s="9">
        <v>3228406</v>
      </c>
      <c r="N12" s="9">
        <v>6101875</v>
      </c>
      <c r="O12" s="9">
        <v>11409204</v>
      </c>
      <c r="P12" s="9">
        <v>869</v>
      </c>
      <c r="Q12" s="9">
        <v>21363611</v>
      </c>
      <c r="R12" s="9">
        <v>30485033</v>
      </c>
      <c r="S12" s="9">
        <v>53711559</v>
      </c>
      <c r="T12" s="9">
        <v>4421357</v>
      </c>
      <c r="U12" s="9">
        <v>4618769</v>
      </c>
    </row>
  </sheetData>
  <mergeCells count="4">
    <mergeCell ref="B1:G1"/>
    <mergeCell ref="H1:K1"/>
    <mergeCell ref="L1:O1"/>
    <mergeCell ref="P1:U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U12"/>
  <sheetViews>
    <sheetView topLeftCell="J1" workbookViewId="0">
      <selection activeCell="U6" sqref="U6"/>
    </sheetView>
  </sheetViews>
  <sheetFormatPr defaultColWidth="9.140625" defaultRowHeight="15" x14ac:dyDescent="0.25"/>
  <cols>
    <col min="1" max="1" width="9.140625" style="8"/>
    <col min="2" max="2" width="13.85546875" style="9" customWidth="1"/>
    <col min="3" max="3" width="15.140625" style="9" customWidth="1"/>
    <col min="4" max="4" width="15.85546875" style="9" customWidth="1"/>
    <col min="5" max="5" width="15" style="9" customWidth="1"/>
    <col min="6" max="6" width="15.85546875" style="9" customWidth="1"/>
    <col min="7" max="10" width="13.85546875" style="9" customWidth="1"/>
    <col min="11" max="11" width="15.28515625" style="9" customWidth="1"/>
    <col min="12" max="12" width="13.85546875" style="9" customWidth="1"/>
    <col min="13" max="14" width="15.85546875" style="9" customWidth="1"/>
    <col min="15" max="15" width="15.42578125" style="9" customWidth="1"/>
    <col min="16" max="16" width="13.85546875" style="9" customWidth="1"/>
    <col min="17" max="17" width="15.7109375" style="9" customWidth="1"/>
    <col min="18" max="19" width="16.140625" style="9" customWidth="1"/>
    <col min="20" max="20" width="15.85546875" style="9" customWidth="1"/>
    <col min="21" max="21" width="13.85546875" style="9" customWidth="1"/>
    <col min="22" max="16384" width="9.140625" style="9"/>
  </cols>
  <sheetData>
    <row r="1" spans="1:21" ht="15" customHeight="1" x14ac:dyDescent="0.25">
      <c r="B1" s="17" t="s">
        <v>5</v>
      </c>
      <c r="C1" s="18"/>
      <c r="D1" s="18"/>
      <c r="E1" s="18"/>
      <c r="F1" s="18"/>
      <c r="G1" s="18"/>
      <c r="H1" s="18" t="s">
        <v>6</v>
      </c>
      <c r="I1" s="18"/>
      <c r="J1" s="18"/>
      <c r="K1" s="18"/>
      <c r="L1" s="18" t="s">
        <v>7</v>
      </c>
      <c r="M1" s="18"/>
      <c r="N1" s="18"/>
      <c r="O1" s="18"/>
      <c r="P1" s="18" t="s">
        <v>8</v>
      </c>
      <c r="Q1" s="18"/>
      <c r="R1" s="18"/>
      <c r="S1" s="18"/>
      <c r="T1" s="18"/>
      <c r="U1" s="19"/>
    </row>
    <row r="2" spans="1:21" ht="15.75" thickBot="1" x14ac:dyDescent="0.3">
      <c r="B2" s="10" t="s">
        <v>1</v>
      </c>
      <c r="C2" s="11" t="s">
        <v>2</v>
      </c>
      <c r="D2" s="11" t="s">
        <v>3</v>
      </c>
      <c r="E2" s="11" t="s">
        <v>4</v>
      </c>
      <c r="F2" s="11" t="s">
        <v>12</v>
      </c>
      <c r="G2" s="11" t="s">
        <v>11</v>
      </c>
      <c r="H2" s="11" t="s">
        <v>1</v>
      </c>
      <c r="I2" s="11" t="s">
        <v>2</v>
      </c>
      <c r="J2" s="11" t="s">
        <v>3</v>
      </c>
      <c r="K2" s="11" t="s">
        <v>4</v>
      </c>
      <c r="L2" s="11" t="s">
        <v>1</v>
      </c>
      <c r="M2" s="11" t="s">
        <v>2</v>
      </c>
      <c r="N2" s="11" t="s">
        <v>3</v>
      </c>
      <c r="O2" s="11" t="s">
        <v>4</v>
      </c>
      <c r="P2" s="11" t="s">
        <v>1</v>
      </c>
      <c r="Q2" s="11" t="s">
        <v>2</v>
      </c>
      <c r="R2" s="11" t="s">
        <v>3</v>
      </c>
      <c r="S2" s="11" t="s">
        <v>4</v>
      </c>
      <c r="T2" s="11" t="s">
        <v>12</v>
      </c>
      <c r="U2" s="12" t="s">
        <v>11</v>
      </c>
    </row>
    <row r="3" spans="1:21" x14ac:dyDescent="0.25">
      <c r="A3" s="6" t="s">
        <v>16</v>
      </c>
      <c r="B3" s="14" t="s">
        <v>16</v>
      </c>
      <c r="C3" s="14" t="s">
        <v>16</v>
      </c>
      <c r="D3" s="14" t="s">
        <v>16</v>
      </c>
      <c r="E3" s="14" t="s">
        <v>16</v>
      </c>
      <c r="F3" s="14" t="s">
        <v>16</v>
      </c>
      <c r="G3" s="14" t="s">
        <v>16</v>
      </c>
      <c r="H3" s="14" t="s">
        <v>16</v>
      </c>
      <c r="I3" s="14" t="s">
        <v>16</v>
      </c>
      <c r="J3" s="14" t="s">
        <v>16</v>
      </c>
      <c r="K3" s="14" t="s">
        <v>16</v>
      </c>
      <c r="L3" s="14" t="s">
        <v>16</v>
      </c>
      <c r="M3" s="14" t="s">
        <v>16</v>
      </c>
      <c r="N3" s="14" t="s">
        <v>16</v>
      </c>
      <c r="O3" s="14" t="s">
        <v>16</v>
      </c>
      <c r="P3" s="14" t="s">
        <v>16</v>
      </c>
      <c r="Q3" s="14" t="s">
        <v>16</v>
      </c>
      <c r="R3" s="14" t="s">
        <v>16</v>
      </c>
      <c r="S3" s="14" t="s">
        <v>16</v>
      </c>
      <c r="T3" s="14" t="s">
        <v>16</v>
      </c>
      <c r="U3" s="14" t="s">
        <v>16</v>
      </c>
    </row>
    <row r="4" spans="1:21" x14ac:dyDescent="0.25">
      <c r="A4" s="6" t="s">
        <v>16</v>
      </c>
      <c r="B4" s="14" t="s">
        <v>16</v>
      </c>
      <c r="C4" s="14" t="s">
        <v>16</v>
      </c>
      <c r="D4" s="14" t="s">
        <v>16</v>
      </c>
      <c r="E4" s="14" t="s">
        <v>16</v>
      </c>
      <c r="F4" s="14" t="s">
        <v>16</v>
      </c>
      <c r="G4" s="14" t="s">
        <v>16</v>
      </c>
      <c r="H4" s="14" t="s">
        <v>16</v>
      </c>
      <c r="I4" s="14" t="s">
        <v>16</v>
      </c>
      <c r="J4" s="14" t="s">
        <v>16</v>
      </c>
      <c r="K4" s="14" t="s">
        <v>16</v>
      </c>
      <c r="L4" s="14" t="s">
        <v>16</v>
      </c>
      <c r="M4" s="14" t="s">
        <v>16</v>
      </c>
      <c r="N4" s="14" t="s">
        <v>16</v>
      </c>
      <c r="O4" s="14" t="s">
        <v>16</v>
      </c>
      <c r="P4" s="14" t="s">
        <v>16</v>
      </c>
      <c r="Q4" s="14" t="s">
        <v>16</v>
      </c>
      <c r="R4" s="14" t="s">
        <v>16</v>
      </c>
      <c r="S4" s="14" t="s">
        <v>16</v>
      </c>
      <c r="T4" s="14" t="s">
        <v>16</v>
      </c>
      <c r="U4" s="14" t="s">
        <v>16</v>
      </c>
    </row>
    <row r="5" spans="1:21" x14ac:dyDescent="0.25">
      <c r="A5" s="6" t="s">
        <v>18</v>
      </c>
      <c r="B5" s="9">
        <v>7390.7</v>
      </c>
      <c r="C5" s="9">
        <v>303378449</v>
      </c>
      <c r="D5" s="9">
        <v>517886838</v>
      </c>
      <c r="E5" s="9">
        <v>1451178589</v>
      </c>
      <c r="F5" s="9">
        <v>63850176</v>
      </c>
      <c r="G5" s="9">
        <v>74128434</v>
      </c>
      <c r="H5" s="9">
        <v>2721.2</v>
      </c>
      <c r="I5" s="9">
        <v>176454611</v>
      </c>
      <c r="J5" s="9">
        <v>275161182</v>
      </c>
      <c r="K5" s="9">
        <v>489545897</v>
      </c>
      <c r="L5" s="9">
        <v>3130.5</v>
      </c>
      <c r="M5" s="9">
        <v>144436144</v>
      </c>
      <c r="N5" s="9">
        <v>255505818</v>
      </c>
      <c r="O5" s="9">
        <v>445083370</v>
      </c>
      <c r="P5" s="9">
        <v>13242.5</v>
      </c>
      <c r="Q5" s="9">
        <v>624269205</v>
      </c>
      <c r="R5" s="9">
        <v>1048553838</v>
      </c>
      <c r="S5" s="9">
        <v>2385807856</v>
      </c>
      <c r="T5" s="9">
        <v>108289599</v>
      </c>
      <c r="U5" s="9">
        <v>150410187</v>
      </c>
    </row>
    <row r="6" spans="1:21" x14ac:dyDescent="0.25">
      <c r="A6" s="6" t="s">
        <v>19</v>
      </c>
      <c r="B6" s="9">
        <v>2882.5</v>
      </c>
      <c r="C6" s="9">
        <v>100662192</v>
      </c>
      <c r="D6" s="9">
        <v>171539482</v>
      </c>
      <c r="E6" s="9">
        <v>434699514</v>
      </c>
      <c r="F6" s="9">
        <v>19259876</v>
      </c>
      <c r="G6" s="9">
        <v>25673994</v>
      </c>
      <c r="H6" s="9">
        <v>669.9</v>
      </c>
      <c r="I6" s="9">
        <v>48513784</v>
      </c>
      <c r="J6" s="9">
        <v>75249680</v>
      </c>
      <c r="K6" s="9">
        <v>123302965</v>
      </c>
      <c r="L6" s="9">
        <v>760.9</v>
      </c>
      <c r="M6" s="9">
        <v>37417063</v>
      </c>
      <c r="N6" s="9">
        <v>66527682</v>
      </c>
      <c r="O6" s="9">
        <v>109663444</v>
      </c>
      <c r="P6" s="9">
        <v>4313.3</v>
      </c>
      <c r="Q6" s="9">
        <v>186593039</v>
      </c>
      <c r="R6" s="9">
        <v>313316843</v>
      </c>
      <c r="S6" s="9">
        <v>667665923</v>
      </c>
      <c r="T6" s="9">
        <v>30256310</v>
      </c>
      <c r="U6" s="9">
        <v>46519602</v>
      </c>
    </row>
    <row r="7" spans="1:21" x14ac:dyDescent="0.25">
      <c r="A7" s="6" t="s">
        <v>20</v>
      </c>
      <c r="B7" s="9">
        <v>2418.9</v>
      </c>
      <c r="C7" s="9">
        <v>103267391</v>
      </c>
      <c r="D7" s="9">
        <v>172052053</v>
      </c>
      <c r="E7" s="9">
        <v>516784129</v>
      </c>
      <c r="F7" s="9">
        <v>21332371</v>
      </c>
      <c r="G7" s="9">
        <v>24315759</v>
      </c>
      <c r="H7" s="9">
        <v>742.6</v>
      </c>
      <c r="I7" s="9">
        <v>43625690</v>
      </c>
      <c r="J7" s="9">
        <v>69916105</v>
      </c>
      <c r="K7" s="9">
        <v>123452391</v>
      </c>
      <c r="L7" s="9">
        <v>774.9</v>
      </c>
      <c r="M7" s="9">
        <v>33632348</v>
      </c>
      <c r="N7" s="9">
        <v>61788149</v>
      </c>
      <c r="O7" s="9">
        <v>105744226</v>
      </c>
      <c r="P7" s="9">
        <v>3936.4</v>
      </c>
      <c r="Q7" s="9">
        <v>180525430</v>
      </c>
      <c r="R7" s="9">
        <v>303756308</v>
      </c>
      <c r="S7" s="9">
        <v>745980746</v>
      </c>
      <c r="T7" s="9">
        <v>32558739</v>
      </c>
      <c r="U7" s="9">
        <v>42925648</v>
      </c>
    </row>
    <row r="8" spans="1:21" x14ac:dyDescent="0.25">
      <c r="A8" s="6" t="s">
        <v>21</v>
      </c>
      <c r="B8" s="9">
        <v>149.9</v>
      </c>
      <c r="C8" s="9">
        <v>5353161</v>
      </c>
      <c r="D8" s="9">
        <v>7285937</v>
      </c>
      <c r="E8" s="9">
        <v>17280920</v>
      </c>
      <c r="F8" s="9">
        <v>1287242</v>
      </c>
      <c r="G8" s="9">
        <v>1201520</v>
      </c>
      <c r="H8" s="9">
        <v>21.7</v>
      </c>
      <c r="I8" s="9">
        <v>915407</v>
      </c>
      <c r="J8" s="9">
        <v>1383748</v>
      </c>
      <c r="K8" s="9">
        <v>2953861</v>
      </c>
      <c r="L8" s="9">
        <v>19.899999999999999</v>
      </c>
      <c r="M8" s="9">
        <v>602259</v>
      </c>
      <c r="N8" s="9">
        <v>1328253</v>
      </c>
      <c r="O8" s="9">
        <v>2527371</v>
      </c>
      <c r="P8" s="9">
        <v>191.4</v>
      </c>
      <c r="Q8" s="9">
        <v>6870827</v>
      </c>
      <c r="R8" s="9">
        <v>9997939</v>
      </c>
      <c r="S8" s="9">
        <v>22762152</v>
      </c>
      <c r="T8" s="9">
        <v>1608239</v>
      </c>
      <c r="U8" s="9">
        <v>1581129</v>
      </c>
    </row>
    <row r="9" spans="1:21" x14ac:dyDescent="0.25">
      <c r="A9" s="6" t="s">
        <v>22</v>
      </c>
      <c r="B9" s="9">
        <v>861.4</v>
      </c>
      <c r="C9" s="9">
        <v>29929321</v>
      </c>
      <c r="D9" s="9">
        <v>55652962</v>
      </c>
      <c r="E9" s="9">
        <v>100883428</v>
      </c>
      <c r="F9" s="9">
        <v>7686840</v>
      </c>
      <c r="G9" s="9">
        <v>7599615</v>
      </c>
      <c r="H9" s="9">
        <v>218</v>
      </c>
      <c r="I9" s="9">
        <v>9564059</v>
      </c>
      <c r="J9" s="9">
        <v>15481709</v>
      </c>
      <c r="K9" s="9">
        <v>29774590</v>
      </c>
      <c r="L9" s="9">
        <v>203.3</v>
      </c>
      <c r="M9" s="9">
        <v>8289731</v>
      </c>
      <c r="N9" s="9">
        <v>15298646</v>
      </c>
      <c r="O9" s="9">
        <v>26568177</v>
      </c>
      <c r="P9" s="9">
        <v>1282.7</v>
      </c>
      <c r="Q9" s="9">
        <v>47783111</v>
      </c>
      <c r="R9" s="9">
        <v>86433316</v>
      </c>
      <c r="S9" s="9">
        <v>157226196</v>
      </c>
      <c r="T9" s="9">
        <v>10800136</v>
      </c>
      <c r="U9" s="9">
        <v>11819301</v>
      </c>
    </row>
    <row r="10" spans="1:21" x14ac:dyDescent="0.25">
      <c r="A10" s="6" t="s">
        <v>23</v>
      </c>
      <c r="B10" s="9">
        <v>1310.7</v>
      </c>
      <c r="C10" s="9">
        <v>46254433</v>
      </c>
      <c r="D10" s="9">
        <v>77034043</v>
      </c>
      <c r="E10" s="9">
        <v>193954275</v>
      </c>
      <c r="F10" s="9">
        <v>9890953</v>
      </c>
      <c r="G10" s="9">
        <v>10600847</v>
      </c>
      <c r="H10" s="9">
        <v>300.89999999999998</v>
      </c>
      <c r="I10" s="9">
        <v>13240198</v>
      </c>
      <c r="J10" s="9">
        <v>20672128</v>
      </c>
      <c r="K10" s="9">
        <v>40202743</v>
      </c>
      <c r="L10" s="9">
        <v>304.2</v>
      </c>
      <c r="M10" s="9">
        <v>11462467</v>
      </c>
      <c r="N10" s="9">
        <v>20950185</v>
      </c>
      <c r="O10" s="9">
        <v>37432436</v>
      </c>
      <c r="P10" s="9">
        <v>1915.8</v>
      </c>
      <c r="Q10" s="9">
        <v>70957098</v>
      </c>
      <c r="R10" s="9">
        <v>118656356</v>
      </c>
      <c r="S10" s="9">
        <v>271589453</v>
      </c>
      <c r="T10" s="9">
        <v>13636485</v>
      </c>
      <c r="U10" s="9">
        <v>16157984</v>
      </c>
    </row>
    <row r="11" spans="1:21" x14ac:dyDescent="0.25">
      <c r="A11" s="6" t="s">
        <v>24</v>
      </c>
      <c r="B11" s="9">
        <v>431.9</v>
      </c>
      <c r="C11" s="9">
        <v>11344614</v>
      </c>
      <c r="D11" s="9">
        <v>18891449</v>
      </c>
      <c r="E11" s="9">
        <v>37776309</v>
      </c>
      <c r="F11" s="9">
        <v>4057098</v>
      </c>
      <c r="G11" s="9">
        <v>2760691</v>
      </c>
      <c r="H11" s="9">
        <v>70.2</v>
      </c>
      <c r="I11" s="9">
        <v>2666310</v>
      </c>
      <c r="J11" s="9">
        <v>3906406</v>
      </c>
      <c r="K11" s="9">
        <v>8429696</v>
      </c>
      <c r="L11" s="9">
        <v>67</v>
      </c>
      <c r="M11" s="9">
        <v>2384218</v>
      </c>
      <c r="N11" s="9">
        <v>4301248</v>
      </c>
      <c r="O11" s="9">
        <v>7919894</v>
      </c>
      <c r="P11" s="9">
        <v>569.1</v>
      </c>
      <c r="Q11" s="9">
        <v>16395142</v>
      </c>
      <c r="R11" s="9">
        <v>27099102</v>
      </c>
      <c r="S11" s="9">
        <v>54125899</v>
      </c>
      <c r="T11" s="9">
        <v>4914559</v>
      </c>
      <c r="U11" s="9">
        <v>3946393</v>
      </c>
    </row>
    <row r="12" spans="1:21" x14ac:dyDescent="0.25">
      <c r="A12" s="6" t="s">
        <v>25</v>
      </c>
      <c r="B12" s="9">
        <v>576.9</v>
      </c>
      <c r="C12" s="9">
        <v>17887168</v>
      </c>
      <c r="D12" s="9">
        <v>28390117</v>
      </c>
      <c r="E12" s="9">
        <v>53357651</v>
      </c>
      <c r="F12" s="9">
        <v>5421250</v>
      </c>
      <c r="G12" s="9">
        <v>4091556</v>
      </c>
      <c r="H12" s="9">
        <v>124.4</v>
      </c>
      <c r="I12" s="9">
        <v>5090933</v>
      </c>
      <c r="J12" s="9">
        <v>7776503</v>
      </c>
      <c r="K12" s="9">
        <v>16002295</v>
      </c>
      <c r="L12" s="9">
        <v>123.7</v>
      </c>
      <c r="M12" s="9">
        <v>4087039</v>
      </c>
      <c r="N12" s="9">
        <v>7725800</v>
      </c>
      <c r="O12" s="9">
        <v>14443646</v>
      </c>
      <c r="P12" s="9">
        <v>825</v>
      </c>
      <c r="Q12" s="9">
        <v>27065140</v>
      </c>
      <c r="R12" s="9">
        <v>43892421</v>
      </c>
      <c r="S12" s="9">
        <v>83803591</v>
      </c>
      <c r="T12" s="9">
        <v>6976062</v>
      </c>
      <c r="U12" s="9">
        <v>6127617</v>
      </c>
    </row>
  </sheetData>
  <mergeCells count="4">
    <mergeCell ref="B1:G1"/>
    <mergeCell ref="H1:K1"/>
    <mergeCell ref="L1:O1"/>
    <mergeCell ref="P1:U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A1:U12"/>
  <sheetViews>
    <sheetView workbookViewId="0">
      <selection activeCell="A12" sqref="A12"/>
    </sheetView>
  </sheetViews>
  <sheetFormatPr defaultColWidth="9.140625" defaultRowHeight="15" x14ac:dyDescent="0.25"/>
  <cols>
    <col min="1" max="1" width="9.140625" style="8"/>
    <col min="2" max="2" width="13.85546875" style="9" customWidth="1"/>
    <col min="3" max="3" width="15.140625" style="9" customWidth="1"/>
    <col min="4" max="4" width="15.85546875" style="9" customWidth="1"/>
    <col min="5" max="5" width="15" style="9" customWidth="1"/>
    <col min="6" max="6" width="15.85546875" style="9" customWidth="1"/>
    <col min="7" max="10" width="13.85546875" style="9" customWidth="1"/>
    <col min="11" max="11" width="15.28515625" style="9" customWidth="1"/>
    <col min="12" max="12" width="13.85546875" style="9" customWidth="1"/>
    <col min="13" max="14" width="15.85546875" style="9" customWidth="1"/>
    <col min="15" max="15" width="15.42578125" style="9" customWidth="1"/>
    <col min="16" max="16" width="13.85546875" style="9" customWidth="1"/>
    <col min="17" max="17" width="15.7109375" style="9" customWidth="1"/>
    <col min="18" max="19" width="16.140625" style="9" customWidth="1"/>
    <col min="20" max="20" width="15.85546875" style="9" customWidth="1"/>
    <col min="21" max="21" width="13.85546875" style="9" customWidth="1"/>
    <col min="22" max="16384" width="9.140625" style="9"/>
  </cols>
  <sheetData>
    <row r="1" spans="1:21" ht="15" customHeight="1" x14ac:dyDescent="0.25">
      <c r="B1" s="17" t="s">
        <v>5</v>
      </c>
      <c r="C1" s="18"/>
      <c r="D1" s="18"/>
      <c r="E1" s="18"/>
      <c r="F1" s="18"/>
      <c r="G1" s="18"/>
      <c r="H1" s="18" t="s">
        <v>6</v>
      </c>
      <c r="I1" s="18"/>
      <c r="J1" s="18"/>
      <c r="K1" s="18"/>
      <c r="L1" s="18" t="s">
        <v>7</v>
      </c>
      <c r="M1" s="18"/>
      <c r="N1" s="18"/>
      <c r="O1" s="18"/>
      <c r="P1" s="18" t="s">
        <v>8</v>
      </c>
      <c r="Q1" s="18"/>
      <c r="R1" s="18"/>
      <c r="S1" s="18"/>
      <c r="T1" s="18"/>
      <c r="U1" s="19"/>
    </row>
    <row r="2" spans="1:21" ht="15.75" thickBot="1" x14ac:dyDescent="0.3">
      <c r="B2" s="10" t="s">
        <v>1</v>
      </c>
      <c r="C2" s="11" t="s">
        <v>2</v>
      </c>
      <c r="D2" s="11" t="s">
        <v>3</v>
      </c>
      <c r="E2" s="11" t="s">
        <v>4</v>
      </c>
      <c r="F2" s="11" t="s">
        <v>12</v>
      </c>
      <c r="G2" s="11" t="s">
        <v>11</v>
      </c>
      <c r="H2" s="11" t="s">
        <v>1</v>
      </c>
      <c r="I2" s="11" t="s">
        <v>2</v>
      </c>
      <c r="J2" s="11" t="s">
        <v>3</v>
      </c>
      <c r="K2" s="11" t="s">
        <v>4</v>
      </c>
      <c r="L2" s="11" t="s">
        <v>1</v>
      </c>
      <c r="M2" s="11" t="s">
        <v>2</v>
      </c>
      <c r="N2" s="11" t="s">
        <v>3</v>
      </c>
      <c r="O2" s="11" t="s">
        <v>4</v>
      </c>
      <c r="P2" s="11" t="s">
        <v>1</v>
      </c>
      <c r="Q2" s="11" t="s">
        <v>2</v>
      </c>
      <c r="R2" s="11" t="s">
        <v>3</v>
      </c>
      <c r="S2" s="11" t="s">
        <v>4</v>
      </c>
      <c r="T2" s="11" t="s">
        <v>12</v>
      </c>
      <c r="U2" s="12" t="s">
        <v>11</v>
      </c>
    </row>
    <row r="3" spans="1:21" x14ac:dyDescent="0.25">
      <c r="A3" s="6" t="s">
        <v>16</v>
      </c>
      <c r="B3" s="14" t="s">
        <v>16</v>
      </c>
      <c r="C3" s="14" t="s">
        <v>16</v>
      </c>
      <c r="D3" s="14" t="s">
        <v>16</v>
      </c>
      <c r="E3" s="14" t="s">
        <v>16</v>
      </c>
      <c r="F3" s="14" t="s">
        <v>16</v>
      </c>
      <c r="G3" s="14" t="s">
        <v>16</v>
      </c>
      <c r="H3" s="14" t="s">
        <v>16</v>
      </c>
      <c r="I3" s="14" t="s">
        <v>16</v>
      </c>
      <c r="J3" s="14" t="s">
        <v>16</v>
      </c>
      <c r="K3" s="14" t="s">
        <v>16</v>
      </c>
      <c r="L3" s="14" t="s">
        <v>16</v>
      </c>
      <c r="M3" s="14" t="s">
        <v>16</v>
      </c>
      <c r="N3" s="14" t="s">
        <v>16</v>
      </c>
      <c r="O3" s="14" t="s">
        <v>16</v>
      </c>
      <c r="P3" s="14" t="s">
        <v>16</v>
      </c>
      <c r="Q3" s="14" t="s">
        <v>16</v>
      </c>
      <c r="R3" s="14" t="s">
        <v>16</v>
      </c>
      <c r="S3" s="14" t="s">
        <v>16</v>
      </c>
      <c r="T3" s="14" t="s">
        <v>16</v>
      </c>
      <c r="U3" s="14" t="s">
        <v>16</v>
      </c>
    </row>
    <row r="4" spans="1:21" x14ac:dyDescent="0.25">
      <c r="A4" s="6" t="s">
        <v>16</v>
      </c>
      <c r="B4" s="14" t="s">
        <v>16</v>
      </c>
      <c r="C4" s="14" t="s">
        <v>16</v>
      </c>
      <c r="D4" s="14" t="s">
        <v>16</v>
      </c>
      <c r="E4" s="14" t="s">
        <v>16</v>
      </c>
      <c r="F4" s="14" t="s">
        <v>16</v>
      </c>
      <c r="G4" s="14" t="s">
        <v>16</v>
      </c>
      <c r="H4" s="14" t="s">
        <v>16</v>
      </c>
      <c r="I4" s="14" t="s">
        <v>16</v>
      </c>
      <c r="J4" s="14" t="s">
        <v>16</v>
      </c>
      <c r="K4" s="14" t="s">
        <v>16</v>
      </c>
      <c r="L4" s="14" t="s">
        <v>16</v>
      </c>
      <c r="M4" s="14" t="s">
        <v>16</v>
      </c>
      <c r="N4" s="14" t="s">
        <v>16</v>
      </c>
      <c r="O4" s="14" t="s">
        <v>16</v>
      </c>
      <c r="P4" s="14" t="s">
        <v>16</v>
      </c>
      <c r="Q4" s="14" t="s">
        <v>16</v>
      </c>
      <c r="R4" s="14" t="s">
        <v>16</v>
      </c>
      <c r="S4" s="14" t="s">
        <v>16</v>
      </c>
      <c r="T4" s="14" t="s">
        <v>16</v>
      </c>
      <c r="U4" s="14" t="s">
        <v>16</v>
      </c>
    </row>
    <row r="5" spans="1:21" x14ac:dyDescent="0.25">
      <c r="A5" s="6" t="s">
        <v>18</v>
      </c>
      <c r="B5" s="9">
        <v>10384</v>
      </c>
      <c r="C5" s="9">
        <v>369928228</v>
      </c>
      <c r="D5" s="9">
        <v>592623336</v>
      </c>
      <c r="E5" s="9">
        <v>1328475531</v>
      </c>
      <c r="F5" s="9">
        <v>89344316</v>
      </c>
      <c r="G5" s="9">
        <v>88845748</v>
      </c>
      <c r="H5" s="9">
        <v>3014</v>
      </c>
      <c r="I5" s="9">
        <v>199707464</v>
      </c>
      <c r="J5" s="9">
        <v>306291453</v>
      </c>
      <c r="K5" s="9">
        <v>538205611</v>
      </c>
      <c r="L5" s="9">
        <v>3715.6</v>
      </c>
      <c r="M5" s="9">
        <v>171424611</v>
      </c>
      <c r="N5" s="9">
        <v>303250550</v>
      </c>
      <c r="O5" s="9">
        <v>528248115</v>
      </c>
      <c r="P5" s="9">
        <v>17113.599999999999</v>
      </c>
      <c r="Q5" s="9">
        <v>741060303</v>
      </c>
      <c r="R5" s="9">
        <v>1202165339</v>
      </c>
      <c r="S5" s="9">
        <v>2394929257</v>
      </c>
      <c r="T5" s="9">
        <v>139667336</v>
      </c>
      <c r="U5" s="9">
        <v>176174027</v>
      </c>
    </row>
    <row r="6" spans="1:21" x14ac:dyDescent="0.25">
      <c r="A6" s="6" t="s">
        <v>19</v>
      </c>
      <c r="B6" s="9">
        <v>2152.9</v>
      </c>
      <c r="C6" s="9">
        <v>90266439</v>
      </c>
      <c r="D6" s="9">
        <v>136343818</v>
      </c>
      <c r="E6" s="9">
        <v>306041224</v>
      </c>
      <c r="F6" s="9">
        <v>18048869</v>
      </c>
      <c r="G6" s="9">
        <v>21368879</v>
      </c>
      <c r="H6" s="9">
        <v>543.6</v>
      </c>
      <c r="I6" s="9">
        <v>39254201</v>
      </c>
      <c r="J6" s="9">
        <v>61737994</v>
      </c>
      <c r="K6" s="9">
        <v>100508394</v>
      </c>
      <c r="L6" s="9">
        <v>658.3</v>
      </c>
      <c r="M6" s="9">
        <v>32359513</v>
      </c>
      <c r="N6" s="9">
        <v>57542437</v>
      </c>
      <c r="O6" s="9">
        <v>94837325</v>
      </c>
      <c r="P6" s="9">
        <v>3354.8</v>
      </c>
      <c r="Q6" s="9">
        <v>161880153</v>
      </c>
      <c r="R6" s="9">
        <v>255624249</v>
      </c>
      <c r="S6" s="9">
        <v>501386944</v>
      </c>
      <c r="T6" s="9">
        <v>27102139</v>
      </c>
      <c r="U6" s="9">
        <v>38787109</v>
      </c>
    </row>
    <row r="7" spans="1:21" x14ac:dyDescent="0.25">
      <c r="A7" s="6" t="s">
        <v>20</v>
      </c>
      <c r="B7" s="9">
        <v>3312.6</v>
      </c>
      <c r="C7" s="9">
        <v>109590689</v>
      </c>
      <c r="D7" s="9">
        <v>176662008</v>
      </c>
      <c r="E7" s="9">
        <v>435417526</v>
      </c>
      <c r="F7" s="9">
        <v>27591155</v>
      </c>
      <c r="G7" s="9">
        <v>26225064</v>
      </c>
      <c r="H7" s="9">
        <v>788.1</v>
      </c>
      <c r="I7" s="9">
        <v>45306594</v>
      </c>
      <c r="J7" s="9">
        <v>72952406</v>
      </c>
      <c r="K7" s="9">
        <v>129799472</v>
      </c>
      <c r="L7" s="9">
        <v>818.4</v>
      </c>
      <c r="M7" s="9">
        <v>35531242</v>
      </c>
      <c r="N7" s="9">
        <v>65264228</v>
      </c>
      <c r="O7" s="9">
        <v>111708370</v>
      </c>
      <c r="P7" s="9">
        <v>4919.1000000000004</v>
      </c>
      <c r="Q7" s="9">
        <v>190428525</v>
      </c>
      <c r="R7" s="9">
        <v>314878642</v>
      </c>
      <c r="S7" s="9">
        <v>676925368</v>
      </c>
      <c r="T7" s="9">
        <v>38936081</v>
      </c>
      <c r="U7" s="9">
        <v>45661011</v>
      </c>
    </row>
    <row r="8" spans="1:21" x14ac:dyDescent="0.25">
      <c r="A8" s="6" t="s">
        <v>21</v>
      </c>
      <c r="B8" s="9">
        <v>229.8</v>
      </c>
      <c r="C8" s="9">
        <v>6841269</v>
      </c>
      <c r="D8" s="9">
        <v>9405315</v>
      </c>
      <c r="E8" s="9">
        <v>20829517</v>
      </c>
      <c r="F8" s="9">
        <v>2009091</v>
      </c>
      <c r="G8" s="9">
        <v>1506713</v>
      </c>
      <c r="H8" s="9">
        <v>28.8</v>
      </c>
      <c r="I8" s="9">
        <v>1261263</v>
      </c>
      <c r="J8" s="9">
        <v>1808988</v>
      </c>
      <c r="K8" s="9">
        <v>3840933</v>
      </c>
      <c r="L8" s="9">
        <v>25.7</v>
      </c>
      <c r="M8" s="9">
        <v>778800</v>
      </c>
      <c r="N8" s="9">
        <v>1719269</v>
      </c>
      <c r="O8" s="9">
        <v>3269817</v>
      </c>
      <c r="P8" s="9">
        <v>284.2</v>
      </c>
      <c r="Q8" s="9">
        <v>8881333</v>
      </c>
      <c r="R8" s="9">
        <v>12933571</v>
      </c>
      <c r="S8" s="9">
        <v>27940267</v>
      </c>
      <c r="T8" s="9">
        <v>2432139</v>
      </c>
      <c r="U8" s="9">
        <v>2009061</v>
      </c>
    </row>
    <row r="9" spans="1:21" x14ac:dyDescent="0.25">
      <c r="A9" s="6" t="s">
        <v>22</v>
      </c>
      <c r="B9" s="9">
        <v>1295.4000000000001</v>
      </c>
      <c r="C9" s="9">
        <v>45069927</v>
      </c>
      <c r="D9" s="9">
        <v>72640673</v>
      </c>
      <c r="E9" s="9">
        <v>147920971</v>
      </c>
      <c r="F9" s="9">
        <v>12141197</v>
      </c>
      <c r="G9" s="9">
        <v>11002802</v>
      </c>
      <c r="H9" s="9">
        <v>324.60000000000002</v>
      </c>
      <c r="I9" s="9">
        <v>14996873</v>
      </c>
      <c r="J9" s="9">
        <v>23587212</v>
      </c>
      <c r="K9" s="9">
        <v>45471844</v>
      </c>
      <c r="L9" s="9">
        <v>309.7</v>
      </c>
      <c r="M9" s="9">
        <v>12630750</v>
      </c>
      <c r="N9" s="9">
        <v>23307894</v>
      </c>
      <c r="O9" s="9">
        <v>40480329</v>
      </c>
      <c r="P9" s="9">
        <v>1929.8</v>
      </c>
      <c r="Q9" s="9">
        <v>72697550</v>
      </c>
      <c r="R9" s="9">
        <v>119535778</v>
      </c>
      <c r="S9" s="9">
        <v>233873143</v>
      </c>
      <c r="T9" s="9">
        <v>17115374</v>
      </c>
      <c r="U9" s="9">
        <v>17486880</v>
      </c>
    </row>
    <row r="10" spans="1:21" x14ac:dyDescent="0.25">
      <c r="A10" s="6" t="s">
        <v>23</v>
      </c>
      <c r="B10" s="9">
        <v>2498.9</v>
      </c>
      <c r="C10" s="9">
        <v>59356975</v>
      </c>
      <c r="D10" s="9">
        <v>99629573</v>
      </c>
      <c r="E10" s="9">
        <v>234493783</v>
      </c>
      <c r="F10" s="9">
        <v>23175106</v>
      </c>
      <c r="G10" s="9">
        <v>14025043</v>
      </c>
      <c r="H10" s="9">
        <v>462.6</v>
      </c>
      <c r="I10" s="9">
        <v>19893231</v>
      </c>
      <c r="J10" s="9">
        <v>31406325</v>
      </c>
      <c r="K10" s="9">
        <v>61542012</v>
      </c>
      <c r="L10" s="9">
        <v>406</v>
      </c>
      <c r="M10" s="9">
        <v>15295535</v>
      </c>
      <c r="N10" s="9">
        <v>27961418</v>
      </c>
      <c r="O10" s="9">
        <v>49953383</v>
      </c>
      <c r="P10" s="9">
        <v>3367.6</v>
      </c>
      <c r="Q10" s="9">
        <v>94545741</v>
      </c>
      <c r="R10" s="9">
        <v>158997316</v>
      </c>
      <c r="S10" s="9">
        <v>345989178</v>
      </c>
      <c r="T10" s="9">
        <v>28664456</v>
      </c>
      <c r="U10" s="9">
        <v>21925070</v>
      </c>
    </row>
    <row r="11" spans="1:21" x14ac:dyDescent="0.25">
      <c r="A11" s="6" t="s">
        <v>24</v>
      </c>
      <c r="B11" s="9">
        <v>1029.9000000000001</v>
      </c>
      <c r="C11" s="9">
        <v>22602519</v>
      </c>
      <c r="D11" s="9">
        <v>35856283</v>
      </c>
      <c r="E11" s="9">
        <v>74640735</v>
      </c>
      <c r="F11" s="9">
        <v>10280665</v>
      </c>
      <c r="G11" s="9">
        <v>5515235</v>
      </c>
      <c r="H11" s="9">
        <v>134.69999999999999</v>
      </c>
      <c r="I11" s="9">
        <v>5370930</v>
      </c>
      <c r="J11" s="9">
        <v>7654823</v>
      </c>
      <c r="K11" s="9">
        <v>16318495</v>
      </c>
      <c r="L11" s="9">
        <v>133.80000000000001</v>
      </c>
      <c r="M11" s="9">
        <v>4757034</v>
      </c>
      <c r="N11" s="9">
        <v>8580682</v>
      </c>
      <c r="O11" s="9">
        <v>15800670</v>
      </c>
      <c r="P11" s="9">
        <v>1298.3</v>
      </c>
      <c r="Q11" s="9">
        <v>32730484</v>
      </c>
      <c r="R11" s="9">
        <v>52091788</v>
      </c>
      <c r="S11" s="9">
        <v>106759901</v>
      </c>
      <c r="T11" s="9">
        <v>12042704</v>
      </c>
      <c r="U11" s="9">
        <v>7871405</v>
      </c>
    </row>
    <row r="12" spans="1:21" x14ac:dyDescent="0.25">
      <c r="A12" s="6" t="s">
        <v>25</v>
      </c>
      <c r="B12" s="9">
        <v>843.9</v>
      </c>
      <c r="C12" s="9">
        <v>25018403</v>
      </c>
      <c r="D12" s="9">
        <v>38041614</v>
      </c>
      <c r="E12" s="9">
        <v>74899151</v>
      </c>
      <c r="F12" s="9">
        <v>8509354</v>
      </c>
      <c r="G12" s="9">
        <v>5683477</v>
      </c>
      <c r="H12" s="9">
        <v>168.4</v>
      </c>
      <c r="I12" s="9">
        <v>7025452</v>
      </c>
      <c r="J12" s="9">
        <v>10726064</v>
      </c>
      <c r="K12" s="9">
        <v>22094246</v>
      </c>
      <c r="L12" s="9">
        <v>172.6</v>
      </c>
      <c r="M12" s="9">
        <v>5699987</v>
      </c>
      <c r="N12" s="9">
        <v>10774646</v>
      </c>
      <c r="O12" s="9">
        <v>20143819</v>
      </c>
      <c r="P12" s="9">
        <v>1184.9000000000001</v>
      </c>
      <c r="Q12" s="9">
        <v>37743841</v>
      </c>
      <c r="R12" s="9">
        <v>59542323</v>
      </c>
      <c r="S12" s="9">
        <v>117137216</v>
      </c>
      <c r="T12" s="9">
        <v>10698808</v>
      </c>
      <c r="U12" s="9">
        <v>8510684</v>
      </c>
    </row>
  </sheetData>
  <mergeCells count="4">
    <mergeCell ref="B1:G1"/>
    <mergeCell ref="H1:K1"/>
    <mergeCell ref="L1:O1"/>
    <mergeCell ref="P1:U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/>
  <dimension ref="A1:U12"/>
  <sheetViews>
    <sheetView workbookViewId="0">
      <selection activeCell="A12" sqref="A12"/>
    </sheetView>
  </sheetViews>
  <sheetFormatPr defaultColWidth="9.140625" defaultRowHeight="15" x14ac:dyDescent="0.25"/>
  <cols>
    <col min="1" max="1" width="9.140625" style="8"/>
    <col min="2" max="2" width="13.85546875" style="9" customWidth="1"/>
    <col min="3" max="3" width="15.140625" style="9" customWidth="1"/>
    <col min="4" max="4" width="15.85546875" style="9" customWidth="1"/>
    <col min="5" max="5" width="15" style="9" customWidth="1"/>
    <col min="6" max="6" width="15.85546875" style="9" customWidth="1"/>
    <col min="7" max="10" width="13.85546875" style="9" customWidth="1"/>
    <col min="11" max="11" width="15.28515625" style="9" customWidth="1"/>
    <col min="12" max="12" width="13.85546875" style="9" customWidth="1"/>
    <col min="13" max="14" width="15.85546875" style="9" customWidth="1"/>
    <col min="15" max="15" width="15.42578125" style="9" customWidth="1"/>
    <col min="16" max="16" width="13.85546875" style="9" customWidth="1"/>
    <col min="17" max="17" width="15.7109375" style="9" customWidth="1"/>
    <col min="18" max="19" width="16.140625" style="9" customWidth="1"/>
    <col min="20" max="20" width="15.85546875" style="9" customWidth="1"/>
    <col min="21" max="21" width="13.85546875" style="9" customWidth="1"/>
    <col min="22" max="16384" width="9.140625" style="9"/>
  </cols>
  <sheetData>
    <row r="1" spans="1:21" ht="15" customHeight="1" x14ac:dyDescent="0.25">
      <c r="B1" s="17" t="s">
        <v>5</v>
      </c>
      <c r="C1" s="18"/>
      <c r="D1" s="18"/>
      <c r="E1" s="18"/>
      <c r="F1" s="18"/>
      <c r="G1" s="18"/>
      <c r="H1" s="18" t="s">
        <v>6</v>
      </c>
      <c r="I1" s="18"/>
      <c r="J1" s="18"/>
      <c r="K1" s="18"/>
      <c r="L1" s="18" t="s">
        <v>7</v>
      </c>
      <c r="M1" s="18"/>
      <c r="N1" s="18"/>
      <c r="O1" s="18"/>
      <c r="P1" s="18" t="s">
        <v>8</v>
      </c>
      <c r="Q1" s="18"/>
      <c r="R1" s="18"/>
      <c r="S1" s="18"/>
      <c r="T1" s="18"/>
      <c r="U1" s="19"/>
    </row>
    <row r="2" spans="1:21" ht="15.75" thickBot="1" x14ac:dyDescent="0.3">
      <c r="B2" s="10" t="s">
        <v>1</v>
      </c>
      <c r="C2" s="11" t="s">
        <v>2</v>
      </c>
      <c r="D2" s="11" t="s">
        <v>3</v>
      </c>
      <c r="E2" s="11" t="s">
        <v>4</v>
      </c>
      <c r="F2" s="11" t="s">
        <v>12</v>
      </c>
      <c r="G2" s="11" t="s">
        <v>11</v>
      </c>
      <c r="H2" s="11" t="s">
        <v>1</v>
      </c>
      <c r="I2" s="11" t="s">
        <v>2</v>
      </c>
      <c r="J2" s="11" t="s">
        <v>3</v>
      </c>
      <c r="K2" s="11" t="s">
        <v>4</v>
      </c>
      <c r="L2" s="11" t="s">
        <v>1</v>
      </c>
      <c r="M2" s="11" t="s">
        <v>2</v>
      </c>
      <c r="N2" s="11" t="s">
        <v>3</v>
      </c>
      <c r="O2" s="11" t="s">
        <v>4</v>
      </c>
      <c r="P2" s="11" t="s">
        <v>1</v>
      </c>
      <c r="Q2" s="11" t="s">
        <v>2</v>
      </c>
      <c r="R2" s="11" t="s">
        <v>3</v>
      </c>
      <c r="S2" s="11" t="s">
        <v>4</v>
      </c>
      <c r="T2" s="11" t="s">
        <v>12</v>
      </c>
      <c r="U2" s="12" t="s">
        <v>11</v>
      </c>
    </row>
    <row r="3" spans="1:21" x14ac:dyDescent="0.25">
      <c r="A3" s="6" t="s">
        <v>16</v>
      </c>
      <c r="B3" s="15" t="s">
        <v>16</v>
      </c>
      <c r="C3" s="15" t="s">
        <v>16</v>
      </c>
      <c r="D3" s="15" t="s">
        <v>16</v>
      </c>
      <c r="E3" s="15" t="s">
        <v>16</v>
      </c>
      <c r="F3" s="15" t="s">
        <v>16</v>
      </c>
      <c r="G3" s="15" t="s">
        <v>16</v>
      </c>
      <c r="H3" s="15" t="s">
        <v>16</v>
      </c>
      <c r="I3" s="15" t="s">
        <v>16</v>
      </c>
      <c r="J3" s="15" t="s">
        <v>16</v>
      </c>
      <c r="K3" s="15" t="s">
        <v>16</v>
      </c>
      <c r="L3" s="15" t="s">
        <v>16</v>
      </c>
      <c r="M3" s="15" t="s">
        <v>16</v>
      </c>
      <c r="N3" s="15" t="s">
        <v>16</v>
      </c>
      <c r="O3" s="15" t="s">
        <v>16</v>
      </c>
      <c r="P3" s="15" t="s">
        <v>16</v>
      </c>
      <c r="Q3" s="15" t="s">
        <v>16</v>
      </c>
      <c r="R3" s="15" t="s">
        <v>16</v>
      </c>
      <c r="S3" s="15" t="s">
        <v>16</v>
      </c>
      <c r="T3" s="15" t="s">
        <v>16</v>
      </c>
      <c r="U3" s="15" t="s">
        <v>16</v>
      </c>
    </row>
    <row r="4" spans="1:21" x14ac:dyDescent="0.25">
      <c r="A4" s="6" t="s">
        <v>16</v>
      </c>
      <c r="B4" s="15" t="s">
        <v>16</v>
      </c>
      <c r="C4" s="15" t="s">
        <v>16</v>
      </c>
      <c r="D4" s="15" t="s">
        <v>16</v>
      </c>
      <c r="E4" s="15" t="s">
        <v>16</v>
      </c>
      <c r="F4" s="15" t="s">
        <v>16</v>
      </c>
      <c r="G4" s="15" t="s">
        <v>16</v>
      </c>
      <c r="H4" s="15" t="s">
        <v>16</v>
      </c>
      <c r="I4" s="15" t="s">
        <v>16</v>
      </c>
      <c r="J4" s="15" t="s">
        <v>16</v>
      </c>
      <c r="K4" s="15" t="s">
        <v>16</v>
      </c>
      <c r="L4" s="15" t="s">
        <v>16</v>
      </c>
      <c r="M4" s="15" t="s">
        <v>16</v>
      </c>
      <c r="N4" s="15" t="s">
        <v>16</v>
      </c>
      <c r="O4" s="15" t="s">
        <v>16</v>
      </c>
      <c r="P4" s="15" t="s">
        <v>16</v>
      </c>
      <c r="Q4" s="15" t="s">
        <v>16</v>
      </c>
      <c r="R4" s="15" t="s">
        <v>16</v>
      </c>
      <c r="S4" s="15" t="s">
        <v>16</v>
      </c>
      <c r="T4" s="15" t="s">
        <v>16</v>
      </c>
      <c r="U4" s="15" t="s">
        <v>16</v>
      </c>
    </row>
    <row r="5" spans="1:21" x14ac:dyDescent="0.25">
      <c r="A5" s="6" t="s">
        <v>18</v>
      </c>
      <c r="B5" s="9">
        <v>9976.2999999999993</v>
      </c>
      <c r="C5" s="9">
        <v>302822588</v>
      </c>
      <c r="D5" s="9">
        <v>547194128</v>
      </c>
      <c r="E5" s="9">
        <v>800361031</v>
      </c>
      <c r="F5" s="9">
        <v>85634801</v>
      </c>
      <c r="G5" s="9">
        <v>78291977</v>
      </c>
      <c r="H5" s="9">
        <v>1667.4</v>
      </c>
      <c r="I5" s="9">
        <v>87231963</v>
      </c>
      <c r="J5" s="9">
        <v>158041149</v>
      </c>
      <c r="K5" s="9">
        <v>278716462</v>
      </c>
      <c r="L5" s="9">
        <v>2551.1999999999998</v>
      </c>
      <c r="M5" s="9">
        <v>117739730</v>
      </c>
      <c r="N5" s="9">
        <v>208254035</v>
      </c>
      <c r="O5" s="9">
        <v>362827550</v>
      </c>
      <c r="P5" s="9">
        <v>14194.9</v>
      </c>
      <c r="Q5" s="9">
        <v>507794282</v>
      </c>
      <c r="R5" s="9">
        <v>913489312</v>
      </c>
      <c r="S5" s="9">
        <v>1441905043</v>
      </c>
      <c r="T5" s="9">
        <v>115053535</v>
      </c>
      <c r="U5" s="9">
        <v>129022353</v>
      </c>
    </row>
    <row r="6" spans="1:21" x14ac:dyDescent="0.25">
      <c r="A6" s="6" t="s">
        <v>19</v>
      </c>
      <c r="B6" s="9">
        <v>3263.6</v>
      </c>
      <c r="C6" s="9">
        <v>96071174</v>
      </c>
      <c r="D6" s="9">
        <v>174069015</v>
      </c>
      <c r="E6" s="9">
        <v>256850686</v>
      </c>
      <c r="F6" s="9">
        <v>28024144</v>
      </c>
      <c r="G6" s="9">
        <v>25482416</v>
      </c>
      <c r="H6" s="9">
        <v>459.5</v>
      </c>
      <c r="I6" s="9">
        <v>26685469</v>
      </c>
      <c r="J6" s="9">
        <v>49174214</v>
      </c>
      <c r="K6" s="9">
        <v>79720231</v>
      </c>
      <c r="L6" s="9">
        <v>625.20000000000005</v>
      </c>
      <c r="M6" s="9">
        <v>30739178</v>
      </c>
      <c r="N6" s="9">
        <v>54657168</v>
      </c>
      <c r="O6" s="9">
        <v>90090354</v>
      </c>
      <c r="P6" s="9">
        <v>4348.3</v>
      </c>
      <c r="Q6" s="9">
        <v>153495821</v>
      </c>
      <c r="R6" s="9">
        <v>277900398</v>
      </c>
      <c r="S6" s="9">
        <v>426661271</v>
      </c>
      <c r="T6" s="9">
        <v>35812839</v>
      </c>
      <c r="U6" s="9">
        <v>40063180</v>
      </c>
    </row>
    <row r="7" spans="1:21" x14ac:dyDescent="0.25">
      <c r="A7" s="6" t="s">
        <v>20</v>
      </c>
      <c r="B7" s="9">
        <v>5476</v>
      </c>
      <c r="C7" s="9">
        <v>142366250</v>
      </c>
      <c r="D7" s="9">
        <v>263429408</v>
      </c>
      <c r="E7" s="9">
        <v>401417451</v>
      </c>
      <c r="F7" s="9">
        <v>46812152</v>
      </c>
      <c r="G7" s="9">
        <v>36665828</v>
      </c>
      <c r="H7" s="9">
        <v>739.9</v>
      </c>
      <c r="I7" s="9">
        <v>35558421</v>
      </c>
      <c r="J7" s="9">
        <v>65016449</v>
      </c>
      <c r="K7" s="9">
        <v>114180971</v>
      </c>
      <c r="L7" s="9">
        <v>939.7</v>
      </c>
      <c r="M7" s="9">
        <v>40794498</v>
      </c>
      <c r="N7" s="9">
        <v>74935344</v>
      </c>
      <c r="O7" s="9">
        <v>128257514</v>
      </c>
      <c r="P7" s="9">
        <v>7155.5</v>
      </c>
      <c r="Q7" s="9">
        <v>218719170</v>
      </c>
      <c r="R7" s="9">
        <v>403381201</v>
      </c>
      <c r="S7" s="9">
        <v>643855936</v>
      </c>
      <c r="T7" s="9">
        <v>58211472</v>
      </c>
      <c r="U7" s="9">
        <v>55636315</v>
      </c>
    </row>
    <row r="8" spans="1:21" x14ac:dyDescent="0.25">
      <c r="A8" s="6" t="s">
        <v>21</v>
      </c>
      <c r="B8" s="9">
        <v>112.4</v>
      </c>
      <c r="C8" s="9">
        <v>2675479</v>
      </c>
      <c r="D8" s="9">
        <v>4433418</v>
      </c>
      <c r="E8" s="9">
        <v>7269542</v>
      </c>
      <c r="F8" s="9">
        <v>896087</v>
      </c>
      <c r="G8" s="9">
        <v>628291</v>
      </c>
      <c r="H8" s="9">
        <v>8.8000000000000007</v>
      </c>
      <c r="I8" s="9">
        <v>283367</v>
      </c>
      <c r="J8" s="9">
        <v>489423</v>
      </c>
      <c r="K8" s="9">
        <v>1087930</v>
      </c>
      <c r="L8" s="9">
        <v>9.4</v>
      </c>
      <c r="M8" s="9">
        <v>284512</v>
      </c>
      <c r="N8" s="9">
        <v>628639</v>
      </c>
      <c r="O8" s="9">
        <v>1195064</v>
      </c>
      <c r="P8" s="9">
        <v>130.69999999999999</v>
      </c>
      <c r="Q8" s="9">
        <v>3243359</v>
      </c>
      <c r="R8" s="9">
        <v>5551480</v>
      </c>
      <c r="S8" s="9">
        <v>9552536</v>
      </c>
      <c r="T8" s="9">
        <v>1029096</v>
      </c>
      <c r="U8" s="9">
        <v>777525</v>
      </c>
    </row>
    <row r="9" spans="1:21" x14ac:dyDescent="0.25">
      <c r="A9" s="6" t="s">
        <v>22</v>
      </c>
      <c r="B9" s="9">
        <v>337.5</v>
      </c>
      <c r="C9" s="9">
        <v>11695569</v>
      </c>
      <c r="D9" s="9">
        <v>20483761</v>
      </c>
      <c r="E9" s="9">
        <v>29087457</v>
      </c>
      <c r="F9" s="9">
        <v>2909069</v>
      </c>
      <c r="G9" s="9">
        <v>2941715</v>
      </c>
      <c r="H9" s="9">
        <v>47.2</v>
      </c>
      <c r="I9" s="9">
        <v>1876966</v>
      </c>
      <c r="J9" s="9">
        <v>3774893</v>
      </c>
      <c r="K9" s="9">
        <v>6819443</v>
      </c>
      <c r="L9" s="9">
        <v>70.2</v>
      </c>
      <c r="M9" s="9">
        <v>2861624</v>
      </c>
      <c r="N9" s="9">
        <v>5279940</v>
      </c>
      <c r="O9" s="9">
        <v>9171025</v>
      </c>
      <c r="P9" s="9">
        <v>454.9</v>
      </c>
      <c r="Q9" s="9">
        <v>16434159</v>
      </c>
      <c r="R9" s="9">
        <v>29538594</v>
      </c>
      <c r="S9" s="9">
        <v>45077926</v>
      </c>
      <c r="T9" s="9">
        <v>3714495</v>
      </c>
      <c r="U9" s="9">
        <v>4115652</v>
      </c>
    </row>
    <row r="10" spans="1:21" x14ac:dyDescent="0.25">
      <c r="A10" s="6" t="s">
        <v>23</v>
      </c>
      <c r="B10" s="9">
        <v>430.8</v>
      </c>
      <c r="C10" s="9">
        <v>11042402</v>
      </c>
      <c r="D10" s="9">
        <v>20925831</v>
      </c>
      <c r="E10" s="9">
        <v>32029642</v>
      </c>
      <c r="F10" s="9">
        <v>3725035</v>
      </c>
      <c r="G10" s="9">
        <v>2746289</v>
      </c>
      <c r="H10" s="9">
        <v>55.4</v>
      </c>
      <c r="I10" s="9">
        <v>2124844</v>
      </c>
      <c r="J10" s="9">
        <v>3895377</v>
      </c>
      <c r="K10" s="9">
        <v>7385458</v>
      </c>
      <c r="L10" s="9">
        <v>67.400000000000006</v>
      </c>
      <c r="M10" s="9">
        <v>2538728</v>
      </c>
      <c r="N10" s="9">
        <v>4640465</v>
      </c>
      <c r="O10" s="9">
        <v>8290846</v>
      </c>
      <c r="P10" s="9">
        <v>553.70000000000005</v>
      </c>
      <c r="Q10" s="9">
        <v>15705973</v>
      </c>
      <c r="R10" s="9">
        <v>29461674</v>
      </c>
      <c r="S10" s="9">
        <v>47705945</v>
      </c>
      <c r="T10" s="9">
        <v>4465736</v>
      </c>
      <c r="U10" s="9">
        <v>3840662</v>
      </c>
    </row>
    <row r="11" spans="1:21" x14ac:dyDescent="0.25">
      <c r="A11" s="6" t="s">
        <v>24</v>
      </c>
      <c r="B11" s="9">
        <v>573.1</v>
      </c>
      <c r="C11" s="9">
        <v>10064307</v>
      </c>
      <c r="D11" s="9">
        <v>20094154</v>
      </c>
      <c r="E11" s="9">
        <v>34404877</v>
      </c>
      <c r="F11" s="9">
        <v>4701756</v>
      </c>
      <c r="G11" s="9">
        <v>2726338</v>
      </c>
      <c r="H11" s="9">
        <v>54.9</v>
      </c>
      <c r="I11" s="9">
        <v>1739799</v>
      </c>
      <c r="J11" s="9">
        <v>2834409</v>
      </c>
      <c r="K11" s="9">
        <v>6275443</v>
      </c>
      <c r="L11" s="9">
        <v>56.4</v>
      </c>
      <c r="M11" s="9">
        <v>2006299</v>
      </c>
      <c r="N11" s="9">
        <v>3618523</v>
      </c>
      <c r="O11" s="9">
        <v>6663583</v>
      </c>
      <c r="P11" s="9">
        <v>684.4</v>
      </c>
      <c r="Q11" s="9">
        <v>13810406</v>
      </c>
      <c r="R11" s="9">
        <v>26547085</v>
      </c>
      <c r="S11" s="9">
        <v>47343903</v>
      </c>
      <c r="T11" s="9">
        <v>5368091</v>
      </c>
      <c r="U11" s="9">
        <v>3638021</v>
      </c>
    </row>
    <row r="12" spans="1:21" x14ac:dyDescent="0.25">
      <c r="A12" s="6" t="s">
        <v>25</v>
      </c>
      <c r="B12" s="9">
        <v>542.20000000000005</v>
      </c>
      <c r="C12" s="9">
        <v>14237902</v>
      </c>
      <c r="D12" s="9">
        <v>25557638</v>
      </c>
      <c r="E12" s="9">
        <v>39301374</v>
      </c>
      <c r="F12" s="9">
        <v>4462074</v>
      </c>
      <c r="G12" s="9">
        <v>3499324</v>
      </c>
      <c r="H12" s="9">
        <v>81.099999999999994</v>
      </c>
      <c r="I12" s="9">
        <v>2738992</v>
      </c>
      <c r="J12" s="9">
        <v>5042183</v>
      </c>
      <c r="K12" s="9">
        <v>10306629</v>
      </c>
      <c r="L12" s="9">
        <v>91.6</v>
      </c>
      <c r="M12" s="9">
        <v>3027617</v>
      </c>
      <c r="N12" s="9">
        <v>5720733</v>
      </c>
      <c r="O12" s="9">
        <v>10699573</v>
      </c>
      <c r="P12" s="9">
        <v>714.9</v>
      </c>
      <c r="Q12" s="9">
        <v>20004511</v>
      </c>
      <c r="R12" s="9">
        <v>36320555</v>
      </c>
      <c r="S12" s="9">
        <v>60307576</v>
      </c>
      <c r="T12" s="9">
        <v>5481115</v>
      </c>
      <c r="U12" s="9">
        <v>4842154</v>
      </c>
    </row>
  </sheetData>
  <mergeCells count="4">
    <mergeCell ref="B1:G1"/>
    <mergeCell ref="H1:K1"/>
    <mergeCell ref="L1:O1"/>
    <mergeCell ref="P1:U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D08DB3D9682FB42AD86391D315A217A" ma:contentTypeVersion="6" ma:contentTypeDescription="Create a new document." ma:contentTypeScope="" ma:versionID="b6979dd5e903cf012cce073e07be496b">
  <xsd:schema xmlns:xsd="http://www.w3.org/2001/XMLSchema" xmlns:xs="http://www.w3.org/2001/XMLSchema" xmlns:p="http://schemas.microsoft.com/office/2006/metadata/properties" xmlns:ns2="a9c39a66-1cd8-4ec2-afcc-509effcee7e7" xmlns:ns3="c861a7aa-461d-41fd-b664-3cb8e4b0b151" targetNamespace="http://schemas.microsoft.com/office/2006/metadata/properties" ma:root="true" ma:fieldsID="9178031ededc37749bd8c5fb7b088b2f" ns2:_="" ns3:_="">
    <xsd:import namespace="a9c39a66-1cd8-4ec2-afcc-509effcee7e7"/>
    <xsd:import namespace="c861a7aa-461d-41fd-b664-3cb8e4b0b15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c39a66-1cd8-4ec2-afcc-509effcee7e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MediaServiceAutoTags" ma:internalName="MediaServiceAutoTags" ma:readOnly="true">
      <xsd:simpleType>
        <xsd:restriction base="dms:Text"/>
      </xsd:simpleType>
    </xsd:element>
    <xsd:element name="MediaServiceOCR" ma:index="1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61a7aa-461d-41fd-b664-3cb8e4b0b15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LongProperties xmlns="http://schemas.microsoft.com/office/2006/metadata/longProperties"/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c861a7aa-461d-41fd-b664-3cb8e4b0b151">
      <UserInfo>
        <DisplayName>Tom Allen</DisplayName>
        <AccountId>12</AccountId>
        <AccountType/>
      </UserInfo>
    </SharedWithUsers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7C5E557-110E-4871-ADC3-2C86FFEBC1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9c39a66-1cd8-4ec2-afcc-509effcee7e7"/>
    <ds:schemaRef ds:uri="c861a7aa-461d-41fd-b664-3cb8e4b0b15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C698369-6B34-4ED9-BAC0-33FF22B7985C}">
  <ds:schemaRefs>
    <ds:schemaRef ds:uri="http://schemas.microsoft.com/office/2006/metadata/longProperties"/>
  </ds:schemaRefs>
</ds:datastoreItem>
</file>

<file path=customXml/itemProps3.xml><?xml version="1.0" encoding="utf-8"?>
<ds:datastoreItem xmlns:ds="http://schemas.openxmlformats.org/officeDocument/2006/customXml" ds:itemID="{685189F1-3C5C-4682-85B0-EE56236EBE8E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a9c39a66-1cd8-4ec2-afcc-509effcee7e7"/>
    <ds:schemaRef ds:uri="http://purl.org/dc/elements/1.1/"/>
    <ds:schemaRef ds:uri="http://schemas.microsoft.com/office/2006/metadata/properties"/>
    <ds:schemaRef ds:uri="c861a7aa-461d-41fd-b664-3cb8e4b0b151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9112DB84-A1B2-4824-B42C-7610E8C03DA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Results temporary</vt:lpstr>
      <vt:lpstr>OIA</vt:lpstr>
      <vt:lpstr>Shoot</vt:lpstr>
      <vt:lpstr>Hunt</vt:lpstr>
      <vt:lpstr>WW</vt:lpstr>
      <vt:lpstr>Fish</vt:lpstr>
      <vt:lpstr>Golf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</dc:creator>
  <cp:lastModifiedBy>Daniel Kary</cp:lastModifiedBy>
  <dcterms:created xsi:type="dcterms:W3CDTF">2012-11-30T01:41:25Z</dcterms:created>
  <dcterms:modified xsi:type="dcterms:W3CDTF">2020-02-14T19:25:37Z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0x0101001D08DB3D9682FB42AD86391D315A217A</vt:lpwstr>
  </property>
  <property fmtid="{D5CDD505-2E9C-101B-9397-08002B2CF9AE}" pid="3" name="display_urn:schemas-microsoft-com:office:office#SharedWithUsers">
    <vt:lpwstr>Tom Allen</vt:lpwstr>
  </property>
  <property fmtid="{D5CDD505-2E9C-101B-9397-08002B2CF9AE}" pid="4" name="SharedWithUsers">
    <vt:lpwstr>12;#Tom Allen</vt:lpwstr>
  </property>
</Properties>
</file>